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c.burns/Documents/Documents/Useful Things/deGromStuff/"/>
    </mc:Choice>
  </mc:AlternateContent>
  <xr:revisionPtr revIDLastSave="0" documentId="13_ncr:1_{4D6689E5-EA53-2B4F-9DF5-5BFEA13B0E3D}" xr6:coauthVersionLast="47" xr6:coauthVersionMax="47" xr10:uidLastSave="{00000000-0000-0000-0000-000000000000}"/>
  <bookViews>
    <workbookView xWindow="0" yWindow="460" windowWidth="28800" windowHeight="16320" activeTab="2" xr2:uid="{DC0ED061-F7E3-414A-86A7-3075F23EC02C}"/>
  </bookViews>
  <sheets>
    <sheet name="Data" sheetId="1" r:id="rId1"/>
    <sheet name="Aces Work" sheetId="5" r:id="rId2"/>
    <sheet name="Results" sheetId="4" r:id="rId3"/>
    <sheet name="Charts" sheetId="2" r:id="rId4"/>
    <sheet name="Sources" sheetId="3" r:id="rId5"/>
    <sheet name="Scherzer 202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P28" i="4"/>
  <c r="K40" i="4"/>
  <c r="K39" i="4"/>
  <c r="K38" i="4"/>
  <c r="K36" i="4"/>
  <c r="K23" i="4"/>
  <c r="K22" i="4"/>
  <c r="N15" i="4"/>
  <c r="K18" i="4"/>
  <c r="K19" i="4" s="1"/>
  <c r="K10" i="4"/>
  <c r="B6" i="6"/>
  <c r="B3" i="6"/>
  <c r="M24" i="6"/>
  <c r="M23" i="6"/>
  <c r="F12" i="1"/>
  <c r="H12" i="1"/>
  <c r="F11" i="1"/>
  <c r="H11" i="1"/>
  <c r="F10" i="1"/>
  <c r="H10" i="1"/>
  <c r="F9" i="1"/>
  <c r="H9" i="1"/>
  <c r="H8" i="1"/>
  <c r="F8" i="1"/>
  <c r="M7" i="1"/>
  <c r="O4" i="1"/>
  <c r="M4" i="1"/>
  <c r="N36" i="4"/>
  <c r="C36" i="4"/>
  <c r="H40" i="4"/>
  <c r="D40" i="4"/>
  <c r="H36" i="4"/>
  <c r="AC10" i="6"/>
  <c r="AC3" i="6"/>
  <c r="K17" i="5"/>
  <c r="K204" i="5"/>
  <c r="K201" i="5"/>
  <c r="K197" i="5"/>
  <c r="K195" i="5"/>
  <c r="K182" i="5"/>
  <c r="K179" i="5"/>
  <c r="K170" i="5"/>
  <c r="K162" i="5"/>
  <c r="K139" i="5"/>
  <c r="K136" i="5"/>
  <c r="K108" i="5"/>
  <c r="K102" i="5"/>
  <c r="K71" i="5"/>
  <c r="K70" i="5"/>
  <c r="M5" i="5"/>
  <c r="M6" i="5"/>
  <c r="L5" i="5"/>
  <c r="L6" i="5"/>
  <c r="H201" i="5"/>
  <c r="F201" i="5"/>
  <c r="H204" i="5"/>
  <c r="F204" i="5"/>
  <c r="H200" i="5"/>
  <c r="F200" i="5"/>
  <c r="H203" i="5"/>
  <c r="F203" i="5"/>
  <c r="H202" i="5"/>
  <c r="F202" i="5"/>
  <c r="H199" i="5"/>
  <c r="F199" i="5"/>
  <c r="H198" i="5"/>
  <c r="F198" i="5"/>
  <c r="H197" i="5"/>
  <c r="F197" i="5"/>
  <c r="H195" i="5"/>
  <c r="F195" i="5"/>
  <c r="H194" i="5"/>
  <c r="F194" i="5"/>
  <c r="H193" i="5"/>
  <c r="F193" i="5"/>
  <c r="H192" i="5"/>
  <c r="F192" i="5"/>
  <c r="H191" i="5"/>
  <c r="F191" i="5"/>
  <c r="H196" i="5"/>
  <c r="F196" i="5"/>
  <c r="H190" i="5"/>
  <c r="F190" i="5"/>
  <c r="H189" i="5"/>
  <c r="F189" i="5"/>
  <c r="H188" i="5"/>
  <c r="F188" i="5"/>
  <c r="H187" i="5"/>
  <c r="F187" i="5"/>
  <c r="H186" i="5"/>
  <c r="F186" i="5"/>
  <c r="H185" i="5"/>
  <c r="F185" i="5"/>
  <c r="H184" i="5"/>
  <c r="F184" i="5"/>
  <c r="H183" i="5"/>
  <c r="F183" i="5"/>
  <c r="C40" i="4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3" i="6"/>
  <c r="F2" i="5"/>
  <c r="J38" i="4"/>
  <c r="J40" i="4" s="1"/>
  <c r="E36" i="4"/>
  <c r="F36" i="4"/>
  <c r="G36" i="4"/>
  <c r="J36" i="4"/>
  <c r="K34" i="4"/>
  <c r="K30" i="4"/>
  <c r="D34" i="4"/>
  <c r="D36" i="4" s="1"/>
  <c r="E34" i="4"/>
  <c r="F34" i="4"/>
  <c r="G34" i="4"/>
  <c r="H34" i="4"/>
  <c r="I34" i="4"/>
  <c r="J34" i="4"/>
  <c r="C34" i="4"/>
  <c r="D30" i="4"/>
  <c r="E30" i="4"/>
  <c r="F30" i="4"/>
  <c r="G30" i="4"/>
  <c r="H30" i="4"/>
  <c r="I30" i="4"/>
  <c r="J30" i="4"/>
  <c r="C30" i="4"/>
  <c r="K17" i="4"/>
  <c r="K16" i="4"/>
  <c r="J16" i="4"/>
  <c r="D17" i="4"/>
  <c r="E17" i="4"/>
  <c r="E20" i="4" s="1"/>
  <c r="F17" i="4"/>
  <c r="G17" i="4"/>
  <c r="H17" i="4"/>
  <c r="I17" i="4"/>
  <c r="J17" i="4"/>
  <c r="C18" i="4"/>
  <c r="C17" i="4"/>
  <c r="K14" i="4"/>
  <c r="J10" i="4"/>
  <c r="I10" i="4"/>
  <c r="H10" i="4"/>
  <c r="G10" i="4"/>
  <c r="F10" i="4"/>
  <c r="E10" i="4"/>
  <c r="D10" i="4"/>
  <c r="C10" i="4"/>
  <c r="H7" i="1"/>
  <c r="F7" i="1"/>
  <c r="H6" i="1"/>
  <c r="F6" i="1"/>
  <c r="H5" i="1"/>
  <c r="F5" i="1"/>
  <c r="H4" i="1"/>
  <c r="F4" i="1"/>
  <c r="H3" i="1"/>
  <c r="F3" i="1"/>
  <c r="H2" i="1"/>
  <c r="F2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23" i="5"/>
  <c r="F23" i="5"/>
  <c r="H18" i="5"/>
  <c r="F18" i="5"/>
  <c r="H17" i="5"/>
  <c r="F17" i="5"/>
  <c r="H16" i="5"/>
  <c r="F16" i="5"/>
  <c r="H15" i="5"/>
  <c r="F15" i="5"/>
  <c r="H22" i="5"/>
  <c r="F22" i="5"/>
  <c r="H21" i="5"/>
  <c r="F21" i="5"/>
  <c r="H14" i="5"/>
  <c r="F14" i="5"/>
  <c r="H13" i="5"/>
  <c r="F13" i="5"/>
  <c r="H12" i="5"/>
  <c r="F12" i="5"/>
  <c r="H11" i="5"/>
  <c r="F11" i="5"/>
  <c r="H20" i="5"/>
  <c r="F20" i="5"/>
  <c r="H19" i="5"/>
  <c r="F19" i="5"/>
  <c r="H10" i="5"/>
  <c r="F10" i="5"/>
  <c r="H9" i="5"/>
  <c r="F9" i="5"/>
  <c r="H8" i="5"/>
  <c r="F8" i="5"/>
  <c r="H7" i="5"/>
  <c r="F7" i="5"/>
  <c r="H6" i="5"/>
  <c r="F6" i="5"/>
  <c r="H5" i="5"/>
  <c r="F5" i="5"/>
  <c r="H4" i="5"/>
  <c r="F4" i="5"/>
  <c r="H3" i="5"/>
  <c r="F3" i="5"/>
  <c r="H2" i="5"/>
  <c r="H48" i="5"/>
  <c r="F48" i="5"/>
  <c r="H47" i="5"/>
  <c r="F47" i="5"/>
  <c r="H46" i="5"/>
  <c r="F46" i="5"/>
  <c r="H45" i="5"/>
  <c r="F45" i="5"/>
  <c r="H44" i="5"/>
  <c r="F44" i="5"/>
  <c r="H43" i="5"/>
  <c r="F43" i="5"/>
  <c r="H42" i="5"/>
  <c r="F42" i="5"/>
  <c r="H41" i="5"/>
  <c r="F41" i="5"/>
  <c r="H40" i="5"/>
  <c r="F40" i="5"/>
  <c r="H39" i="5"/>
  <c r="F39" i="5"/>
  <c r="H38" i="5"/>
  <c r="F38" i="5"/>
  <c r="H53" i="5"/>
  <c r="F53" i="5"/>
  <c r="H37" i="5"/>
  <c r="F37" i="5"/>
  <c r="H36" i="5"/>
  <c r="F36" i="5"/>
  <c r="H52" i="5"/>
  <c r="F52" i="5"/>
  <c r="H35" i="5"/>
  <c r="F35" i="5"/>
  <c r="H34" i="5"/>
  <c r="F34" i="5"/>
  <c r="H51" i="5"/>
  <c r="F51" i="5"/>
  <c r="H33" i="5"/>
  <c r="F33" i="5"/>
  <c r="H32" i="5"/>
  <c r="F32" i="5"/>
  <c r="H31" i="5"/>
  <c r="F31" i="5"/>
  <c r="H30" i="5"/>
  <c r="F30" i="5"/>
  <c r="H29" i="5"/>
  <c r="F29" i="5"/>
  <c r="H50" i="5"/>
  <c r="F50" i="5"/>
  <c r="H28" i="5"/>
  <c r="F28" i="5"/>
  <c r="H27" i="5"/>
  <c r="F27" i="5"/>
  <c r="H26" i="5"/>
  <c r="F26" i="5"/>
  <c r="H25" i="5"/>
  <c r="F25" i="5"/>
  <c r="H24" i="5"/>
  <c r="F24" i="5"/>
  <c r="H49" i="5"/>
  <c r="F49" i="5"/>
  <c r="H70" i="5"/>
  <c r="F70" i="5"/>
  <c r="H77" i="5"/>
  <c r="F77" i="5"/>
  <c r="H76" i="5"/>
  <c r="F76" i="5"/>
  <c r="H69" i="5"/>
  <c r="F69" i="5"/>
  <c r="H68" i="5"/>
  <c r="F68" i="5"/>
  <c r="H75" i="5"/>
  <c r="F75" i="5"/>
  <c r="H67" i="5"/>
  <c r="F67" i="5"/>
  <c r="H74" i="5"/>
  <c r="F74" i="5"/>
  <c r="H66" i="5"/>
  <c r="F66" i="5"/>
  <c r="H65" i="5"/>
  <c r="F65" i="5"/>
  <c r="H64" i="5"/>
  <c r="F64" i="5"/>
  <c r="H73" i="5"/>
  <c r="F73" i="5"/>
  <c r="H72" i="5"/>
  <c r="F72" i="5"/>
  <c r="H63" i="5"/>
  <c r="F63" i="5"/>
  <c r="H62" i="5"/>
  <c r="F62" i="5"/>
  <c r="H61" i="5"/>
  <c r="F61" i="5"/>
  <c r="H60" i="5"/>
  <c r="F60" i="5"/>
  <c r="H59" i="5"/>
  <c r="F59" i="5"/>
  <c r="H58" i="5"/>
  <c r="F58" i="5"/>
  <c r="H57" i="5"/>
  <c r="F57" i="5"/>
  <c r="H56" i="5"/>
  <c r="F56" i="5"/>
  <c r="H55" i="5"/>
  <c r="F55" i="5"/>
  <c r="H54" i="5"/>
  <c r="F54" i="5"/>
  <c r="H71" i="5"/>
  <c r="F71" i="5"/>
  <c r="H108" i="5"/>
  <c r="F108" i="5"/>
  <c r="H102" i="5"/>
  <c r="F102" i="5"/>
  <c r="H101" i="5"/>
  <c r="F101" i="5"/>
  <c r="H100" i="5"/>
  <c r="F100" i="5"/>
  <c r="H99" i="5"/>
  <c r="F99" i="5"/>
  <c r="H98" i="5"/>
  <c r="F98" i="5"/>
  <c r="H97" i="5"/>
  <c r="F97" i="5"/>
  <c r="H96" i="5"/>
  <c r="F96" i="5"/>
  <c r="H95" i="5"/>
  <c r="F95" i="5"/>
  <c r="H107" i="5"/>
  <c r="F107" i="5"/>
  <c r="H94" i="5"/>
  <c r="F94" i="5"/>
  <c r="H93" i="5"/>
  <c r="F93" i="5"/>
  <c r="H106" i="5"/>
  <c r="F106" i="5"/>
  <c r="H92" i="5"/>
  <c r="F92" i="5"/>
  <c r="H105" i="5"/>
  <c r="F105" i="5"/>
  <c r="H91" i="5"/>
  <c r="F91" i="5"/>
  <c r="H90" i="5"/>
  <c r="F90" i="5"/>
  <c r="H89" i="5"/>
  <c r="F89" i="5"/>
  <c r="H88" i="5"/>
  <c r="F88" i="5"/>
  <c r="H87" i="5"/>
  <c r="F87" i="5"/>
  <c r="H86" i="5"/>
  <c r="F86" i="5"/>
  <c r="H85" i="5"/>
  <c r="F85" i="5"/>
  <c r="H84" i="5"/>
  <c r="F84" i="5"/>
  <c r="H83" i="5"/>
  <c r="F83" i="5"/>
  <c r="H82" i="5"/>
  <c r="F82" i="5"/>
  <c r="H81" i="5"/>
  <c r="F81" i="5"/>
  <c r="H104" i="5"/>
  <c r="F104" i="5"/>
  <c r="H103" i="5"/>
  <c r="F103" i="5"/>
  <c r="H80" i="5"/>
  <c r="F80" i="5"/>
  <c r="H79" i="5"/>
  <c r="F79" i="5"/>
  <c r="H78" i="5"/>
  <c r="F78" i="5"/>
  <c r="H136" i="5"/>
  <c r="F136" i="5"/>
  <c r="H135" i="5"/>
  <c r="F135" i="5"/>
  <c r="H134" i="5"/>
  <c r="F134" i="5"/>
  <c r="H133" i="5"/>
  <c r="F133" i="5"/>
  <c r="H132" i="5"/>
  <c r="F132" i="5"/>
  <c r="H131" i="5"/>
  <c r="F131" i="5"/>
  <c r="H130" i="5"/>
  <c r="F130" i="5"/>
  <c r="H139" i="5"/>
  <c r="F139" i="5"/>
  <c r="H129" i="5"/>
  <c r="F129" i="5"/>
  <c r="H128" i="5"/>
  <c r="F128" i="5"/>
  <c r="H138" i="5"/>
  <c r="F138" i="5"/>
  <c r="H127" i="5"/>
  <c r="F127" i="5"/>
  <c r="H126" i="5"/>
  <c r="F126" i="5"/>
  <c r="H125" i="5"/>
  <c r="F125" i="5"/>
  <c r="H124" i="5"/>
  <c r="F124" i="5"/>
  <c r="H123" i="5"/>
  <c r="F123" i="5"/>
  <c r="H122" i="5"/>
  <c r="F122" i="5"/>
  <c r="H121" i="5"/>
  <c r="F121" i="5"/>
  <c r="H120" i="5"/>
  <c r="F120" i="5"/>
  <c r="H119" i="5"/>
  <c r="F119" i="5"/>
  <c r="H118" i="5"/>
  <c r="F118" i="5"/>
  <c r="H117" i="5"/>
  <c r="F117" i="5"/>
  <c r="H116" i="5"/>
  <c r="F116" i="5"/>
  <c r="H137" i="5"/>
  <c r="F137" i="5"/>
  <c r="H115" i="5"/>
  <c r="F115" i="5"/>
  <c r="H114" i="5"/>
  <c r="F114" i="5"/>
  <c r="H113" i="5"/>
  <c r="F113" i="5"/>
  <c r="H112" i="5"/>
  <c r="F112" i="5"/>
  <c r="H111" i="5"/>
  <c r="F111" i="5"/>
  <c r="H110" i="5"/>
  <c r="F110" i="5"/>
  <c r="H109" i="5"/>
  <c r="F109" i="5"/>
  <c r="H162" i="5"/>
  <c r="F162" i="5"/>
  <c r="H170" i="5"/>
  <c r="F170" i="5"/>
  <c r="H169" i="5"/>
  <c r="F169" i="5"/>
  <c r="H161" i="5"/>
  <c r="F161" i="5"/>
  <c r="H168" i="5"/>
  <c r="F168" i="5"/>
  <c r="H160" i="5"/>
  <c r="F160" i="5"/>
  <c r="H159" i="5"/>
  <c r="F159" i="5"/>
  <c r="H158" i="5"/>
  <c r="F158" i="5"/>
  <c r="H157" i="5"/>
  <c r="F157" i="5"/>
  <c r="H156" i="5"/>
  <c r="F156" i="5"/>
  <c r="H155" i="5"/>
  <c r="F155" i="5"/>
  <c r="H154" i="5"/>
  <c r="F154" i="5"/>
  <c r="H153" i="5"/>
  <c r="F153" i="5"/>
  <c r="H152" i="5"/>
  <c r="F152" i="5"/>
  <c r="H151" i="5"/>
  <c r="F151" i="5"/>
  <c r="H167" i="5"/>
  <c r="F167" i="5"/>
  <c r="H150" i="5"/>
  <c r="F150" i="5"/>
  <c r="H149" i="5"/>
  <c r="F149" i="5"/>
  <c r="H148" i="5"/>
  <c r="F148" i="5"/>
  <c r="H166" i="5"/>
  <c r="F166" i="5"/>
  <c r="H165" i="5"/>
  <c r="F165" i="5"/>
  <c r="H164" i="5"/>
  <c r="F164" i="5"/>
  <c r="H147" i="5"/>
  <c r="F147" i="5"/>
  <c r="H146" i="5"/>
  <c r="F146" i="5"/>
  <c r="H145" i="5"/>
  <c r="F145" i="5"/>
  <c r="H144" i="5"/>
  <c r="F144" i="5"/>
  <c r="H143" i="5"/>
  <c r="F143" i="5"/>
  <c r="H142" i="5"/>
  <c r="F142" i="5"/>
  <c r="H141" i="5"/>
  <c r="F141" i="5"/>
  <c r="H140" i="5"/>
  <c r="F140" i="5"/>
  <c r="H163" i="5"/>
  <c r="F163" i="5"/>
  <c r="H182" i="5"/>
  <c r="F182" i="5"/>
  <c r="H179" i="5"/>
  <c r="F179" i="5"/>
  <c r="H181" i="5"/>
  <c r="F181" i="5"/>
  <c r="H178" i="5"/>
  <c r="F178" i="5"/>
  <c r="H180" i="5"/>
  <c r="F180" i="5"/>
  <c r="H177" i="5"/>
  <c r="F177" i="5"/>
  <c r="H176" i="5"/>
  <c r="F176" i="5"/>
  <c r="H175" i="5"/>
  <c r="F175" i="5"/>
  <c r="H174" i="5"/>
  <c r="F174" i="5"/>
  <c r="H173" i="5"/>
  <c r="F173" i="5"/>
  <c r="H172" i="5"/>
  <c r="F172" i="5"/>
  <c r="H171" i="5"/>
  <c r="F171" i="5"/>
  <c r="D39" i="4"/>
  <c r="E39" i="4"/>
  <c r="F39" i="4"/>
  <c r="G39" i="4"/>
  <c r="H39" i="4"/>
  <c r="I39" i="4"/>
  <c r="J39" i="4"/>
  <c r="D38" i="4"/>
  <c r="E38" i="4"/>
  <c r="F38" i="4"/>
  <c r="G38" i="4"/>
  <c r="H38" i="4"/>
  <c r="I38" i="4"/>
  <c r="C38" i="4"/>
  <c r="C39" i="4"/>
  <c r="I14" i="4"/>
  <c r="J14" i="4"/>
  <c r="D18" i="4"/>
  <c r="E18" i="4"/>
  <c r="F18" i="4"/>
  <c r="G18" i="4"/>
  <c r="H18" i="4"/>
  <c r="I18" i="4"/>
  <c r="J18" i="4"/>
  <c r="I16" i="4"/>
  <c r="I20" i="4" s="1"/>
  <c r="I23" i="4" s="1"/>
  <c r="D12" i="4"/>
  <c r="D16" i="4" s="1"/>
  <c r="D20" i="4" s="1"/>
  <c r="E12" i="4"/>
  <c r="E16" i="4" s="1"/>
  <c r="F12" i="4"/>
  <c r="F16" i="4" s="1"/>
  <c r="F20" i="4" s="1"/>
  <c r="G12" i="4"/>
  <c r="G16" i="4" s="1"/>
  <c r="G20" i="4" s="1"/>
  <c r="H12" i="4"/>
  <c r="H16" i="4" s="1"/>
  <c r="H20" i="4" s="1"/>
  <c r="C12" i="4"/>
  <c r="C16" i="4" s="1"/>
  <c r="C20" i="4" s="1"/>
  <c r="F208" i="1"/>
  <c r="H208" i="1"/>
  <c r="H207" i="1"/>
  <c r="F207" i="1"/>
  <c r="F206" i="1"/>
  <c r="H206" i="1"/>
  <c r="F205" i="1"/>
  <c r="H205" i="1"/>
  <c r="F204" i="1"/>
  <c r="H204" i="1"/>
  <c r="F203" i="1"/>
  <c r="H203" i="1"/>
  <c r="F202" i="1"/>
  <c r="H202" i="1"/>
  <c r="F201" i="1"/>
  <c r="H201" i="1"/>
  <c r="F200" i="1"/>
  <c r="H200" i="1"/>
  <c r="F199" i="1"/>
  <c r="H199" i="1"/>
  <c r="F198" i="1"/>
  <c r="H198" i="1"/>
  <c r="F197" i="1"/>
  <c r="H197" i="1"/>
  <c r="F196" i="1"/>
  <c r="H196" i="1"/>
  <c r="F195" i="1"/>
  <c r="H195" i="1"/>
  <c r="F194" i="1"/>
  <c r="H194" i="1"/>
  <c r="F193" i="1"/>
  <c r="H193" i="1"/>
  <c r="F192" i="1"/>
  <c r="H192" i="1"/>
  <c r="F191" i="1"/>
  <c r="H191" i="1"/>
  <c r="F190" i="1"/>
  <c r="H190" i="1"/>
  <c r="F189" i="1"/>
  <c r="H189" i="1"/>
  <c r="F188" i="1"/>
  <c r="H188" i="1"/>
  <c r="F187" i="1"/>
  <c r="H187" i="1"/>
  <c r="F186" i="1"/>
  <c r="H186" i="1"/>
  <c r="F185" i="1"/>
  <c r="H185" i="1"/>
  <c r="F184" i="1"/>
  <c r="H184" i="1"/>
  <c r="F183" i="1"/>
  <c r="H183" i="1"/>
  <c r="F182" i="1"/>
  <c r="H182" i="1"/>
  <c r="F181" i="1"/>
  <c r="H181" i="1"/>
  <c r="F180" i="1"/>
  <c r="H180" i="1"/>
  <c r="F179" i="1"/>
  <c r="H179" i="1"/>
  <c r="F178" i="1"/>
  <c r="H178" i="1"/>
  <c r="F177" i="1"/>
  <c r="H177" i="1"/>
  <c r="F176" i="1"/>
  <c r="H176" i="1"/>
  <c r="F175" i="1"/>
  <c r="H175" i="1"/>
  <c r="F174" i="1"/>
  <c r="H174" i="1"/>
  <c r="F173" i="1"/>
  <c r="H173" i="1"/>
  <c r="F172" i="1"/>
  <c r="H172" i="1"/>
  <c r="F171" i="1"/>
  <c r="H171" i="1"/>
  <c r="F170" i="1"/>
  <c r="H170" i="1"/>
  <c r="F169" i="1"/>
  <c r="H169" i="1"/>
  <c r="F168" i="1"/>
  <c r="H168" i="1"/>
  <c r="F167" i="1"/>
  <c r="H167" i="1"/>
  <c r="F166" i="1"/>
  <c r="H166" i="1"/>
  <c r="F165" i="1"/>
  <c r="H165" i="1"/>
  <c r="F164" i="1"/>
  <c r="H164" i="1"/>
  <c r="F163" i="1"/>
  <c r="H163" i="1"/>
  <c r="F162" i="1"/>
  <c r="H162" i="1"/>
  <c r="F161" i="1"/>
  <c r="H161" i="1"/>
  <c r="F160" i="1"/>
  <c r="H160" i="1"/>
  <c r="F159" i="1"/>
  <c r="H159" i="1"/>
  <c r="F158" i="1"/>
  <c r="H158" i="1"/>
  <c r="F157" i="1"/>
  <c r="H157" i="1"/>
  <c r="F156" i="1"/>
  <c r="H156" i="1"/>
  <c r="F155" i="1"/>
  <c r="H155" i="1"/>
  <c r="F154" i="1"/>
  <c r="H154" i="1"/>
  <c r="F153" i="1"/>
  <c r="H153" i="1"/>
  <c r="H152" i="1"/>
  <c r="F152" i="1"/>
  <c r="F151" i="1"/>
  <c r="H151" i="1"/>
  <c r="F150" i="1"/>
  <c r="H150" i="1"/>
  <c r="F149" i="1"/>
  <c r="H149" i="1"/>
  <c r="F148" i="1"/>
  <c r="H148" i="1"/>
  <c r="F147" i="1"/>
  <c r="H147" i="1"/>
  <c r="F146" i="1"/>
  <c r="H146" i="1"/>
  <c r="F145" i="1"/>
  <c r="H145" i="1"/>
  <c r="F144" i="1"/>
  <c r="H144" i="1"/>
  <c r="F143" i="1"/>
  <c r="H143" i="1"/>
  <c r="F142" i="1"/>
  <c r="H142" i="1"/>
  <c r="F141" i="1"/>
  <c r="H141" i="1"/>
  <c r="F140" i="1"/>
  <c r="H140" i="1"/>
  <c r="F139" i="1"/>
  <c r="H139" i="1"/>
  <c r="F138" i="1"/>
  <c r="H138" i="1"/>
  <c r="F137" i="1"/>
  <c r="H137" i="1"/>
  <c r="F136" i="1"/>
  <c r="H136" i="1"/>
  <c r="F135" i="1"/>
  <c r="H135" i="1"/>
  <c r="F134" i="1"/>
  <c r="H134" i="1"/>
  <c r="F133" i="1"/>
  <c r="H133" i="1"/>
  <c r="F132" i="1"/>
  <c r="H132" i="1"/>
  <c r="F131" i="1"/>
  <c r="H131" i="1"/>
  <c r="F130" i="1"/>
  <c r="H130" i="1"/>
  <c r="F129" i="1"/>
  <c r="H129" i="1"/>
  <c r="F128" i="1"/>
  <c r="H128" i="1"/>
  <c r="F127" i="1"/>
  <c r="H127" i="1"/>
  <c r="F126" i="1"/>
  <c r="H126" i="1"/>
  <c r="F125" i="1"/>
  <c r="H125" i="1"/>
  <c r="F124" i="1"/>
  <c r="H124" i="1"/>
  <c r="F123" i="1"/>
  <c r="H123" i="1"/>
  <c r="F122" i="1"/>
  <c r="H122" i="1"/>
  <c r="F121" i="1"/>
  <c r="H121" i="1"/>
  <c r="H120" i="1"/>
  <c r="F120" i="1"/>
  <c r="F119" i="1"/>
  <c r="H119" i="1"/>
  <c r="F118" i="1"/>
  <c r="H118" i="1"/>
  <c r="F117" i="1"/>
  <c r="H117" i="1"/>
  <c r="F116" i="1"/>
  <c r="H116" i="1"/>
  <c r="F115" i="1"/>
  <c r="H115" i="1"/>
  <c r="F114" i="1"/>
  <c r="H114" i="1"/>
  <c r="F113" i="1"/>
  <c r="H113" i="1"/>
  <c r="F112" i="1"/>
  <c r="H112" i="1"/>
  <c r="F111" i="1"/>
  <c r="H111" i="1"/>
  <c r="F110" i="1"/>
  <c r="H110" i="1"/>
  <c r="F109" i="1"/>
  <c r="H109" i="1"/>
  <c r="F108" i="1"/>
  <c r="H108" i="1"/>
  <c r="F107" i="1"/>
  <c r="H107" i="1"/>
  <c r="F106" i="1"/>
  <c r="H106" i="1"/>
  <c r="F105" i="1"/>
  <c r="H105" i="1"/>
  <c r="F104" i="1"/>
  <c r="H104" i="1"/>
  <c r="F103" i="1"/>
  <c r="H103" i="1"/>
  <c r="F102" i="1"/>
  <c r="H102" i="1"/>
  <c r="F101" i="1"/>
  <c r="H101" i="1"/>
  <c r="F100" i="1"/>
  <c r="H100" i="1"/>
  <c r="F99" i="1"/>
  <c r="H99" i="1"/>
  <c r="F98" i="1"/>
  <c r="H98" i="1"/>
  <c r="F97" i="1"/>
  <c r="H97" i="1"/>
  <c r="F96" i="1"/>
  <c r="H96" i="1"/>
  <c r="F95" i="1"/>
  <c r="H95" i="1"/>
  <c r="F94" i="1"/>
  <c r="H94" i="1"/>
  <c r="F93" i="1"/>
  <c r="H93" i="1"/>
  <c r="F92" i="1"/>
  <c r="H92" i="1"/>
  <c r="F91" i="1"/>
  <c r="H91" i="1"/>
  <c r="F90" i="1"/>
  <c r="H90" i="1"/>
  <c r="F89" i="1"/>
  <c r="H89" i="1"/>
  <c r="F88" i="1"/>
  <c r="H88" i="1"/>
  <c r="F87" i="1"/>
  <c r="H87" i="1"/>
  <c r="F86" i="1"/>
  <c r="H86" i="1"/>
  <c r="F85" i="1"/>
  <c r="H85" i="1"/>
  <c r="F84" i="1"/>
  <c r="H84" i="1"/>
  <c r="H83" i="1"/>
  <c r="F83" i="1"/>
  <c r="F82" i="1"/>
  <c r="H82" i="1"/>
  <c r="F81" i="1"/>
  <c r="H81" i="1"/>
  <c r="F80" i="1"/>
  <c r="H80" i="1"/>
  <c r="F79" i="1"/>
  <c r="H79" i="1"/>
  <c r="F78" i="1"/>
  <c r="H78" i="1"/>
  <c r="F77" i="1"/>
  <c r="H77" i="1"/>
  <c r="F76" i="1"/>
  <c r="H76" i="1"/>
  <c r="F75" i="1"/>
  <c r="H75" i="1"/>
  <c r="F74" i="1"/>
  <c r="H74" i="1"/>
  <c r="F73" i="1"/>
  <c r="H73" i="1"/>
  <c r="F72" i="1"/>
  <c r="H72" i="1"/>
  <c r="F71" i="1"/>
  <c r="H71" i="1"/>
  <c r="F39" i="1"/>
  <c r="H39" i="1"/>
  <c r="H38" i="1"/>
  <c r="F38" i="1"/>
  <c r="F37" i="1"/>
  <c r="H37" i="1"/>
  <c r="F36" i="1"/>
  <c r="H36" i="1"/>
  <c r="F35" i="1"/>
  <c r="H35" i="1"/>
  <c r="F34" i="1"/>
  <c r="H34" i="1"/>
  <c r="F33" i="1"/>
  <c r="H33" i="1"/>
  <c r="F32" i="1"/>
  <c r="H32" i="1"/>
  <c r="H31" i="1"/>
  <c r="F31" i="1"/>
  <c r="H30" i="1"/>
  <c r="F30" i="1"/>
  <c r="F28" i="1"/>
  <c r="H29" i="1"/>
  <c r="H28" i="1"/>
  <c r="F29" i="1"/>
  <c r="F70" i="1"/>
  <c r="H70" i="1"/>
  <c r="F69" i="1"/>
  <c r="H69" i="1"/>
  <c r="F68" i="1"/>
  <c r="H68" i="1"/>
  <c r="F67" i="1"/>
  <c r="H67" i="1"/>
  <c r="F66" i="1"/>
  <c r="H66" i="1"/>
  <c r="F65" i="1"/>
  <c r="H65" i="1"/>
  <c r="H64" i="1"/>
  <c r="F64" i="1"/>
  <c r="F63" i="1"/>
  <c r="H63" i="1"/>
  <c r="F62" i="1"/>
  <c r="H62" i="1"/>
  <c r="F61" i="1"/>
  <c r="H61" i="1"/>
  <c r="F60" i="1"/>
  <c r="H60" i="1"/>
  <c r="H59" i="1"/>
  <c r="F59" i="1"/>
  <c r="F58" i="1"/>
  <c r="H58" i="1"/>
  <c r="F57" i="1"/>
  <c r="H57" i="1"/>
  <c r="F56" i="1"/>
  <c r="H56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40" i="1"/>
  <c r="F55" i="1"/>
  <c r="F54" i="1"/>
  <c r="F53" i="1"/>
  <c r="F52" i="1"/>
  <c r="F51" i="1"/>
  <c r="F50" i="1"/>
  <c r="F49" i="1"/>
  <c r="F48" i="1"/>
  <c r="F47" i="1"/>
  <c r="F46" i="1"/>
  <c r="F45" i="1"/>
  <c r="F44" i="1"/>
  <c r="F40" i="1"/>
  <c r="F41" i="1"/>
  <c r="F42" i="1"/>
  <c r="F43" i="1"/>
  <c r="N29" i="4" l="1"/>
  <c r="K13" i="5"/>
  <c r="C19" i="4"/>
  <c r="J20" i="4"/>
  <c r="J23" i="4" s="1"/>
  <c r="K20" i="4"/>
  <c r="N6" i="4" s="1"/>
  <c r="F40" i="4"/>
  <c r="I40" i="4"/>
  <c r="E40" i="4"/>
  <c r="I19" i="4"/>
  <c r="I22" i="4" s="1"/>
  <c r="G19" i="4"/>
  <c r="E19" i="4"/>
  <c r="H14" i="4"/>
  <c r="H23" i="4" s="1"/>
  <c r="F19" i="4"/>
  <c r="H19" i="4"/>
  <c r="D19" i="4"/>
  <c r="E14" i="4"/>
  <c r="E23" i="4" s="1"/>
  <c r="G40" i="4"/>
  <c r="J19" i="4"/>
  <c r="J22" i="4" s="1"/>
  <c r="D14" i="4"/>
  <c r="D23" i="4" s="1"/>
  <c r="C14" i="4"/>
  <c r="C23" i="4" s="1"/>
  <c r="G14" i="4"/>
  <c r="G23" i="4" s="1"/>
  <c r="F14" i="4"/>
  <c r="F23" i="4" s="1"/>
  <c r="C22" i="4" l="1"/>
  <c r="F22" i="4"/>
  <c r="H22" i="4"/>
  <c r="E22" i="4"/>
  <c r="G22" i="4"/>
  <c r="D22" i="4"/>
</calcChain>
</file>

<file path=xl/sharedStrings.xml><?xml version="1.0" encoding="utf-8"?>
<sst xmlns="http://schemas.openxmlformats.org/spreadsheetml/2006/main" count="115" uniqueCount="82">
  <si>
    <t>Date</t>
  </si>
  <si>
    <t>MetsHits</t>
  </si>
  <si>
    <t>Year</t>
  </si>
  <si>
    <t>MetsRuns</t>
  </si>
  <si>
    <t>Win</t>
  </si>
  <si>
    <t>PlateAppearence</t>
  </si>
  <si>
    <t>Batting Average</t>
  </si>
  <si>
    <t>BattingAverage</t>
  </si>
  <si>
    <t>R2HRatio</t>
  </si>
  <si>
    <t>deGrom</t>
  </si>
  <si>
    <t>AllGames</t>
  </si>
  <si>
    <t>Difference</t>
  </si>
  <si>
    <t>Runs to Hits</t>
  </si>
  <si>
    <t>AllGamesRuns</t>
  </si>
  <si>
    <t>AllGamesHits</t>
  </si>
  <si>
    <t>AllGames Ratio</t>
  </si>
  <si>
    <t>deGromRuns</t>
  </si>
  <si>
    <t>deGromHits</t>
  </si>
  <si>
    <t>https://www.baseball-reference.com/teams/NYM/batteam.shtml</t>
  </si>
  <si>
    <t>https://www.baseball-reference.com/players/gl.fcgi?id=degroja01&amp;t=p&amp;year=2014</t>
  </si>
  <si>
    <t>T - Test Two Sample Equal Variance</t>
  </si>
  <si>
    <t>Number of All Games</t>
  </si>
  <si>
    <t>Number of deGrom Games</t>
  </si>
  <si>
    <t>Non deGrom Games</t>
  </si>
  <si>
    <t>AG*BA Total</t>
  </si>
  <si>
    <t>dGG*BA Total</t>
  </si>
  <si>
    <t>NdGG*BA Total</t>
  </si>
  <si>
    <t>Statistical Significance:</t>
  </si>
  <si>
    <t xml:space="preserve">T-Test </t>
  </si>
  <si>
    <t>Two Sample Equal Variance</t>
  </si>
  <si>
    <t>This value is less than 0.05, so it is statistical significant</t>
  </si>
  <si>
    <t>Non deGrom Runs</t>
  </si>
  <si>
    <t>Non deGrom Hits</t>
  </si>
  <si>
    <t>Non deGrom Ratio</t>
  </si>
  <si>
    <t>From 2015 - 2019</t>
  </si>
  <si>
    <t>All Data</t>
  </si>
  <si>
    <t>This value is greater than 0.05, so it is not statistical significant</t>
  </si>
  <si>
    <t>When looking at complete regular seasons, the Mets also</t>
  </si>
  <si>
    <t>AgainstAce</t>
  </si>
  <si>
    <t>https://www.fangraphs.com/leaders.aspx?pos=all&amp;stats=pit&amp;lg=all&amp;qual=y&amp;type=8&amp;season=2014&amp;month=0&amp;season1=2014&amp;ind=0</t>
  </si>
  <si>
    <t>Top Pitchers</t>
  </si>
  <si>
    <t>Mets Stats Per Year</t>
  </si>
  <si>
    <t>deGrom Stats</t>
  </si>
  <si>
    <t>Ace Analysis</t>
  </si>
  <si>
    <t>Greater than 0.05, so no Statistical Significance</t>
  </si>
  <si>
    <t>2014-2019</t>
  </si>
  <si>
    <t>Greater than 0.05, so no statistical significance</t>
  </si>
  <si>
    <t>From 2014-2019</t>
  </si>
  <si>
    <t xml:space="preserve">No significant difference between when the opposing team starts an "Ace" pitcher </t>
  </si>
  <si>
    <t>and when they don't. This means that the opposing pitching is not causing</t>
  </si>
  <si>
    <t>convert less hits into runs when deGrom plays. This also looks</t>
  </si>
  <si>
    <t>like it has gotten worse over time</t>
  </si>
  <si>
    <t>Reported BA</t>
  </si>
  <si>
    <t>deGrom Reported BA</t>
  </si>
  <si>
    <t>Difference Reported BA</t>
  </si>
  <si>
    <t>Scherzer Games AB</t>
  </si>
  <si>
    <t>dGG*RBA Total</t>
  </si>
  <si>
    <t>NdGG*RBA Total</t>
  </si>
  <si>
    <t>Non deGrom Report Games</t>
  </si>
  <si>
    <t>This value is greater than 0.05, so it is statistical insignificant</t>
  </si>
  <si>
    <t>Overall Average 2022</t>
  </si>
  <si>
    <t>Dates</t>
  </si>
  <si>
    <t>Scherzer Games Hits</t>
  </si>
  <si>
    <t>Scherzer Games Runs</t>
  </si>
  <si>
    <t>Against Ace</t>
  </si>
  <si>
    <t>Average with Scherzer 2022</t>
  </si>
  <si>
    <t>Hits to Runs Conversion Rate</t>
  </si>
  <si>
    <t>Ace R2H Ratio</t>
  </si>
  <si>
    <t>No Ace R2H Ratio</t>
  </si>
  <si>
    <t>2014-2022</t>
  </si>
  <si>
    <t>From 2014-2022</t>
  </si>
  <si>
    <t>the decreased hit to run conversion</t>
  </si>
  <si>
    <t>deGrom Ratio</t>
  </si>
  <si>
    <t>H2R Ratio Scherzer 2022</t>
  </si>
  <si>
    <t>Average with deGrom 2022</t>
  </si>
  <si>
    <t>H2R Ratio deGrom 2022</t>
  </si>
  <si>
    <t>H2R Overall 2022</t>
  </si>
  <si>
    <t>win</t>
  </si>
  <si>
    <t>loss</t>
  </si>
  <si>
    <t>Total</t>
  </si>
  <si>
    <t>https://www.baseball-reference.com/players/s/scherma01.shtml</t>
  </si>
  <si>
    <t>Max Scherzer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</si>
</sst>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Border="1"/>
    <xf numFmtId="14" fontId="0" fillId="0" borderId="0" xfId="0" applyNumberFormat="1" applyBorder="1"/>
    <xf numFmtId="164" fontId="0" fillId="0" borderId="0" xfId="0" applyNumberFormat="1" applyBorder="1"/>
    <xf numFmtId="0" fontId="0" fillId="0" borderId="1" xfId="0" applyFill="1" applyBorder="1"/>
    <xf numFmtId="0" fontId="0" fillId="0" borderId="0" xfId="0" applyBorder="1" applyAlignment="1">
      <alignment horizontal="center"/>
    </xf>
    <xf numFmtId="0" fontId="2" fillId="0" borderId="3" xfId="0" applyFont="1" applyBorder="1"/>
    <xf numFmtId="164" fontId="0" fillId="0" borderId="0" xfId="0" applyNumberFormat="1" applyFill="1" applyBorder="1"/>
    <xf numFmtId="0" fontId="0" fillId="0" borderId="4" xfId="0" applyBorder="1"/>
    <xf numFmtId="14" fontId="0" fillId="0" borderId="4" xfId="0" applyNumberFormat="1" applyBorder="1"/>
    <xf numFmtId="164" fontId="0" fillId="0" borderId="4" xfId="0" applyNumberFormat="1" applyBorder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3" fillId="0" borderId="2" xfId="0" applyFont="1" applyBorder="1"/>
    <xf numFmtId="0" fontId="4" fillId="0" borderId="2" xfId="0" applyFont="1" applyBorder="1"/>
    <xf numFmtId="0" fontId="3" fillId="0" borderId="0" xfId="0" applyFont="1"/>
    <xf numFmtId="0" fontId="4" fillId="0" borderId="0" xfId="0" applyFont="1"/>
    <xf numFmtId="0" fontId="0" fillId="0" borderId="0" xfId="0" applyNumberFormat="1"/>
    <xf numFmtId="0" fontId="0" fillId="0" borderId="1" xfId="0" applyNumberFormat="1" applyBorder="1"/>
    <xf numFmtId="0" fontId="2" fillId="0" borderId="1" xfId="0" applyFont="1" applyBorder="1"/>
    <xf numFmtId="164" fontId="0" fillId="0" borderId="0" xfId="1" applyNumberFormat="1" applyFont="1"/>
    <xf numFmtId="164" fontId="0" fillId="0" borderId="0" xfId="0" applyNumberFormat="1" applyAlignment="1">
      <alignment horizontal="right"/>
    </xf>
    <xf numFmtId="164" fontId="0" fillId="0" borderId="0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in Mets BA All vs</a:t>
            </a:r>
            <a:r>
              <a:rPr lang="en-US" baseline="0"/>
              <a:t> deGrom Games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686816382071064E-2"/>
          <c:y val="0.13406022824587532"/>
          <c:w val="0.891133142742077"/>
          <c:h val="0.78209061928748513"/>
        </c:manualLayout>
      </c:layout>
      <c:lineChart>
        <c:grouping val="standard"/>
        <c:varyColors val="0"/>
        <c:ser>
          <c:idx val="0"/>
          <c:order val="0"/>
          <c:tx>
            <c:v>Difference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Results!$C$4:$J$4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Results!$C$9:$J$9</c:f>
              <c:numCache>
                <c:formatCode>0.000</c:formatCode>
                <c:ptCount val="8"/>
                <c:pt idx="0">
                  <c:v>2.6524401381642804E-2</c:v>
                </c:pt>
                <c:pt idx="1">
                  <c:v>2.0367539312273614E-2</c:v>
                </c:pt>
                <c:pt idx="2">
                  <c:v>4.9730946097692269E-2</c:v>
                </c:pt>
                <c:pt idx="3">
                  <c:v>1.0952680785124763E-2</c:v>
                </c:pt>
                <c:pt idx="4">
                  <c:v>4.4189381034068331E-2</c:v>
                </c:pt>
                <c:pt idx="5">
                  <c:v>4.0853129495201118E-2</c:v>
                </c:pt>
                <c:pt idx="6">
                  <c:v>2.5771758413820067E-2</c:v>
                </c:pt>
                <c:pt idx="7">
                  <c:v>4.9000000000000016E-2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2-6341-94EC-456C73562D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3347584"/>
        <c:axId val="1356096032"/>
      </c:lineChart>
      <c:catAx>
        <c:axId val="135334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096032"/>
        <c:crosses val="autoZero"/>
        <c:auto val="1"/>
        <c:lblAlgn val="ctr"/>
        <c:lblOffset val="100"/>
        <c:noMultiLvlLbl val="0"/>
      </c:catAx>
      <c:valAx>
        <c:axId val="13560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34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Batting</a:t>
            </a:r>
            <a:r>
              <a:rPr lang="en-US" baseline="0"/>
              <a:t> Average</a:t>
            </a:r>
            <a:r>
              <a:rPr lang="en-US"/>
              <a:t>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930735352996138E-2"/>
          <c:y val="0.13583649732389544"/>
          <c:w val="0.9214251968503937"/>
          <c:h val="0.66371618300539581"/>
        </c:manualLayout>
      </c:layout>
      <c:lineChart>
        <c:grouping val="standard"/>
        <c:varyColors val="0"/>
        <c:ser>
          <c:idx val="0"/>
          <c:order val="0"/>
          <c:tx>
            <c:v>deGrom Games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744056227202784E-2"/>
                  <c:y val="5.947520773623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6F-DB40-A91B-C18DF7555F2D}"/>
                </c:ext>
              </c:extLst>
            </c:dLbl>
            <c:dLbl>
              <c:idx val="1"/>
              <c:layout>
                <c:manualLayout>
                  <c:x val="-1.5356488176713276E-2"/>
                  <c:y val="-5.5976666104696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6F-DB40-A91B-C18DF7555F2D}"/>
                </c:ext>
              </c:extLst>
            </c:dLbl>
            <c:dLbl>
              <c:idx val="2"/>
              <c:layout>
                <c:manualLayout>
                  <c:x val="-1.5356488176713316E-2"/>
                  <c:y val="4.5481041210065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6F-DB40-A91B-C18DF7555F2D}"/>
                </c:ext>
              </c:extLst>
            </c:dLbl>
            <c:dLbl>
              <c:idx val="3"/>
              <c:layout>
                <c:manualLayout>
                  <c:x val="-2.1937840252447536E-3"/>
                  <c:y val="-4.8979582841609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6F-DB40-A91B-C18DF7555F2D}"/>
                </c:ext>
              </c:extLst>
            </c:dLbl>
            <c:dLbl>
              <c:idx val="4"/>
              <c:layout>
                <c:manualLayout>
                  <c:x val="-1.0968920126223769E-2"/>
                  <c:y val="6.99708326308701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6F-DB40-A91B-C18DF7555F2D}"/>
                </c:ext>
              </c:extLst>
            </c:dLbl>
            <c:dLbl>
              <c:idx val="5"/>
              <c:layout>
                <c:manualLayout>
                  <c:x val="-1.6087563673553164E-16"/>
                  <c:y val="3.84839579469785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6F-DB40-A91B-C18DF7555F2D}"/>
                </c:ext>
              </c:extLst>
            </c:dLbl>
            <c:dLbl>
              <c:idx val="6"/>
              <c:layout>
                <c:manualLayout>
                  <c:x val="-3.2906760378671386E-2"/>
                  <c:y val="-4.1982499578522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6F-DB40-A91B-C18DF7555F2D}"/>
                </c:ext>
              </c:extLst>
            </c:dLbl>
            <c:dLbl>
              <c:idx val="7"/>
              <c:layout>
                <c:manualLayout>
                  <c:x val="-2.6325408302937045E-2"/>
                  <c:y val="-7.34693742624137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F-DB40-A91B-C18DF7555F2D}"/>
                </c:ext>
              </c:extLst>
            </c:dLbl>
            <c:dLbl>
              <c:idx val="8"/>
              <c:layout>
                <c:manualLayout>
                  <c:x val="-2.6325408302937045E-2"/>
                  <c:y val="6.6472290999326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6F-DB40-A91B-C18DF7555F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Results!$C$4:$K$4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Results!$C$7:$K$7</c:f>
              <c:numCache>
                <c:formatCode>0.000</c:formatCode>
                <c:ptCount val="9"/>
                <c:pt idx="0">
                  <c:v>0.23799999999999999</c:v>
                </c:pt>
                <c:pt idx="1">
                  <c:v>0.247</c:v>
                </c:pt>
                <c:pt idx="2">
                  <c:v>0.219</c:v>
                </c:pt>
                <c:pt idx="3">
                  <c:v>0.26800000000000002</c:v>
                </c:pt>
                <c:pt idx="4">
                  <c:v>0.215</c:v>
                </c:pt>
                <c:pt idx="5">
                  <c:v>0.24399999999999999</c:v>
                </c:pt>
                <c:pt idx="6">
                  <c:v>0.28799999999999998</c:v>
                </c:pt>
                <c:pt idx="7">
                  <c:v>0.24299999999999999</c:v>
                </c:pt>
                <c:pt idx="8">
                  <c:v>0.248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4-984D-81E6-0E110F9E4CF6}"/>
            </c:ext>
          </c:extLst>
        </c:ser>
        <c:ser>
          <c:idx val="1"/>
          <c:order val="1"/>
          <c:tx>
            <c:v>All Games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Results!$C$4:$K$4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Results!$C$5:$K$5</c:f>
              <c:numCache>
                <c:formatCode>General</c:formatCode>
                <c:ptCount val="9"/>
                <c:pt idx="0">
                  <c:v>0.23899999999999999</c:v>
                </c:pt>
                <c:pt idx="1">
                  <c:v>0.24399999999999999</c:v>
                </c:pt>
                <c:pt idx="2">
                  <c:v>0.246</c:v>
                </c:pt>
                <c:pt idx="3">
                  <c:v>0.25</c:v>
                </c:pt>
                <c:pt idx="4">
                  <c:v>0.23400000000000001</c:v>
                </c:pt>
                <c:pt idx="5">
                  <c:v>0.25700000000000001</c:v>
                </c:pt>
                <c:pt idx="6">
                  <c:v>0.27200000000000002</c:v>
                </c:pt>
                <c:pt idx="7">
                  <c:v>0.23899999999999999</c:v>
                </c:pt>
                <c:pt idx="8">
                  <c:v>0.25800000000000001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F4-984D-81E6-0E110F9E4CF6}"/>
            </c:ext>
          </c:extLst>
        </c:ser>
        <c:ser>
          <c:idx val="2"/>
          <c:order val="2"/>
          <c:tx>
            <c:v>Non deGrom Games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5356488176713276E-2"/>
                  <c:y val="-6.99708326308702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76F-DB40-A91B-C18DF7555F2D}"/>
                </c:ext>
              </c:extLst>
            </c:dLbl>
            <c:dLbl>
              <c:idx val="1"/>
              <c:layout>
                <c:manualLayout>
                  <c:x val="-2.1937840252447577E-2"/>
                  <c:y val="5.2478124473152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6F-DB40-A91B-C18DF7555F2D}"/>
                </c:ext>
              </c:extLst>
            </c:dLbl>
            <c:dLbl>
              <c:idx val="2"/>
              <c:layout>
                <c:manualLayout>
                  <c:x val="-2.1937840252447539E-2"/>
                  <c:y val="-5.2478124473152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76F-DB40-A91B-C18DF7555F2D}"/>
                </c:ext>
              </c:extLst>
            </c:dLbl>
            <c:dLbl>
              <c:idx val="3"/>
              <c:layout>
                <c:manualLayout>
                  <c:x val="-3.2906760378671303E-2"/>
                  <c:y val="5.5976666104696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76F-DB40-A91B-C18DF7555F2D}"/>
                </c:ext>
              </c:extLst>
            </c:dLbl>
            <c:dLbl>
              <c:idx val="4"/>
              <c:layout>
                <c:manualLayout>
                  <c:x val="-2.1937840252447539E-2"/>
                  <c:y val="-5.9475207736239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76F-DB40-A91B-C18DF7555F2D}"/>
                </c:ext>
              </c:extLst>
            </c:dLbl>
            <c:dLbl>
              <c:idx val="5"/>
              <c:layout>
                <c:manualLayout>
                  <c:x val="-2.1937840252447618E-2"/>
                  <c:y val="-5.5976666104696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6F-DB40-A91B-C18DF7555F2D}"/>
                </c:ext>
              </c:extLst>
            </c:dLbl>
            <c:dLbl>
              <c:idx val="6"/>
              <c:layout>
                <c:manualLayout>
                  <c:x val="-2.6325408302937045E-2"/>
                  <c:y val="5.59766661046961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76F-DB40-A91B-C18DF7555F2D}"/>
                </c:ext>
              </c:extLst>
            </c:dLbl>
            <c:dLbl>
              <c:idx val="7"/>
              <c:layout>
                <c:manualLayout>
                  <c:x val="-2.85191923281818E-2"/>
                  <c:y val="5.24781244731526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8157214509238421E-2"/>
                      <c:h val="4.54287008234520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176F-DB40-A91B-C18DF7555F2D}"/>
                </c:ext>
              </c:extLst>
            </c:dLbl>
            <c:dLbl>
              <c:idx val="8"/>
              <c:layout>
                <c:manualLayout>
                  <c:x val="-1.0968920126223769E-2"/>
                  <c:y val="-4.8979582841609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76F-DB40-A91B-C18DF7555F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Results!$C$4:$K$4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Results!$C$23:$K$23</c:f>
              <c:numCache>
                <c:formatCode>0.000</c:formatCode>
                <c:ptCount val="9"/>
                <c:pt idx="0">
                  <c:v>0.23915714285714285</c:v>
                </c:pt>
                <c:pt idx="1">
                  <c:v>0.24331818181818177</c:v>
                </c:pt>
                <c:pt idx="2">
                  <c:v>0.25069565217391304</c:v>
                </c:pt>
                <c:pt idx="3">
                  <c:v>0.24574045801526717</c:v>
                </c:pt>
                <c:pt idx="4">
                  <c:v>0.23867692307692309</c:v>
                </c:pt>
                <c:pt idx="5">
                  <c:v>0.26019999999999999</c:v>
                </c:pt>
                <c:pt idx="6">
                  <c:v>0.26800000000000002</c:v>
                </c:pt>
                <c:pt idx="7">
                  <c:v>0.23859183673469384</c:v>
                </c:pt>
                <c:pt idx="8">
                  <c:v>0.25875342465753426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DF-884D-AE94-5BE6CCCF7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715328"/>
        <c:axId val="1356716976"/>
      </c:lineChart>
      <c:catAx>
        <c:axId val="135671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Year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8070197593225378"/>
              <c:y val="0.858216506997388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16976"/>
        <c:crosses val="autoZero"/>
        <c:auto val="1"/>
        <c:lblAlgn val="ctr"/>
        <c:lblOffset val="100"/>
        <c:noMultiLvlLbl val="0"/>
      </c:catAx>
      <c:valAx>
        <c:axId val="13567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1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11171646498822"/>
          <c:y val="0.56276659162708087"/>
          <c:w val="0.6643885284787715"/>
          <c:h val="5.9038303245875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in Hit2Run Conversion Ratio 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Results!$B$34</c:f>
              <c:strCache>
                <c:ptCount val="1"/>
                <c:pt idx="0">
                  <c:v>deGrom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874439461883408E-3"/>
                  <c:y val="3.865212478994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D2-E641-8AA5-92678D9FDCD5}"/>
                </c:ext>
              </c:extLst>
            </c:dLbl>
            <c:dLbl>
              <c:idx val="1"/>
              <c:layout>
                <c:manualLayout>
                  <c:x val="-2.1524663677130077E-2"/>
                  <c:y val="6.54112881060551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14727587302706E-2"/>
                      <c:h val="4.45541239780364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B5D2-E641-8AA5-92678D9FDCD5}"/>
                </c:ext>
              </c:extLst>
            </c:dLbl>
            <c:dLbl>
              <c:idx val="2"/>
              <c:layout>
                <c:manualLayout>
                  <c:x val="-1.2556053811659192E-2"/>
                  <c:y val="5.3518326632227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D2-E641-8AA5-92678D9FDCD5}"/>
                </c:ext>
              </c:extLst>
            </c:dLbl>
            <c:dLbl>
              <c:idx val="3"/>
              <c:layout>
                <c:manualLayout>
                  <c:x val="-2.5112107623318385E-2"/>
                  <c:y val="6.54112881060552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D2-E641-8AA5-92678D9FDCD5}"/>
                </c:ext>
              </c:extLst>
            </c:dLbl>
            <c:dLbl>
              <c:idx val="4"/>
              <c:layout>
                <c:manualLayout>
                  <c:x val="-3.5874439461883477E-2"/>
                  <c:y val="4.4598722583563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14727587302706E-2"/>
                      <c:h val="4.15808836095793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5D2-E641-8AA5-92678D9FDCD5}"/>
                </c:ext>
              </c:extLst>
            </c:dLbl>
            <c:dLbl>
              <c:idx val="5"/>
              <c:layout>
                <c:manualLayout>
                  <c:x val="-1.6143497757847534E-2"/>
                  <c:y val="5.6491567000684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D2-E641-8AA5-92678D9FDCD5}"/>
                </c:ext>
              </c:extLst>
            </c:dLbl>
            <c:dLbl>
              <c:idx val="6"/>
              <c:layout>
                <c:manualLayout>
                  <c:x val="-3.5874439461883408E-2"/>
                  <c:y val="-5.35183266322270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D2-E641-8AA5-92678D9FD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Results!$C$27:$K$27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Results!$C$34:$K$34</c:f>
              <c:numCache>
                <c:formatCode>0.000</c:formatCode>
                <c:ptCount val="9"/>
                <c:pt idx="0">
                  <c:v>0.45698924731182794</c:v>
                </c:pt>
                <c:pt idx="1">
                  <c:v>0.5</c:v>
                </c:pt>
                <c:pt idx="2">
                  <c:v>0.48295454545454547</c:v>
                </c:pt>
                <c:pt idx="3">
                  <c:v>0.52333333333333332</c:v>
                </c:pt>
                <c:pt idx="4">
                  <c:v>0.48458149779735682</c:v>
                </c:pt>
                <c:pt idx="5">
                  <c:v>0.48863636363636365</c:v>
                </c:pt>
                <c:pt idx="6">
                  <c:v>0.59322033898305082</c:v>
                </c:pt>
                <c:pt idx="7">
                  <c:v>0.46086956521739131</c:v>
                </c:pt>
                <c:pt idx="8">
                  <c:v>0.41304347826086957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2-E641-8AA5-92678D9FDCD5}"/>
            </c:ext>
          </c:extLst>
        </c:ser>
        <c:ser>
          <c:idx val="2"/>
          <c:order val="1"/>
          <c:tx>
            <c:strRef>
              <c:f>Results!$B$30</c:f>
              <c:strCache>
                <c:ptCount val="1"/>
                <c:pt idx="0">
                  <c:v>AllGames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90582959641254E-2"/>
                  <c:y val="-5.9464807369141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5D2-E641-8AA5-92678D9FDCD5}"/>
                </c:ext>
              </c:extLst>
            </c:dLbl>
            <c:dLbl>
              <c:idx val="1"/>
              <c:layout>
                <c:manualLayout>
                  <c:x val="-3.5874439461883408E-2"/>
                  <c:y val="-5.3518326632227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5D2-E641-8AA5-92678D9FDCD5}"/>
                </c:ext>
              </c:extLst>
            </c:dLbl>
            <c:dLbl>
              <c:idx val="2"/>
              <c:layout>
                <c:manualLayout>
                  <c:x val="-3.7668161434977643E-2"/>
                  <c:y val="-6.5411288106055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5D2-E641-8AA5-92678D9FDCD5}"/>
                </c:ext>
              </c:extLst>
            </c:dLbl>
            <c:dLbl>
              <c:idx val="3"/>
              <c:layout>
                <c:manualLayout>
                  <c:x val="-4.4843049327354258E-2"/>
                  <c:y val="-5.3518326632227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5D2-E641-8AA5-92678D9FDCD5}"/>
                </c:ext>
              </c:extLst>
            </c:dLbl>
            <c:dLbl>
              <c:idx val="4"/>
              <c:layout>
                <c:manualLayout>
                  <c:x val="-3.2286995515695069E-2"/>
                  <c:y val="-5.94648073691411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5D2-E641-8AA5-92678D9FDCD5}"/>
                </c:ext>
              </c:extLst>
            </c:dLbl>
            <c:dLbl>
              <c:idx val="5"/>
              <c:layout>
                <c:manualLayout>
                  <c:x val="-3.9461883408071746E-2"/>
                  <c:y val="-4.75718458953129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14727587302706E-2"/>
                      <c:h val="4.45541239780364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B5D2-E641-8AA5-92678D9FDCD5}"/>
                </c:ext>
              </c:extLst>
            </c:dLbl>
            <c:dLbl>
              <c:idx val="6"/>
              <c:layout>
                <c:manualLayout>
                  <c:x val="-3.0493273542600896E-2"/>
                  <c:y val="-4.4598605526855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14727587302706E-2"/>
                      <c:h val="4.45541239780364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B5D2-E641-8AA5-92678D9FDCD5}"/>
                </c:ext>
              </c:extLst>
            </c:dLbl>
            <c:dLbl>
              <c:idx val="7"/>
              <c:layout>
                <c:manualLayout>
                  <c:x val="-3.2286995515695201E-2"/>
                  <c:y val="-5.0545086263769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5D2-E641-8AA5-92678D9FD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Results!$C$27:$K$27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Results!$C$30:$K$30</c:f>
              <c:numCache>
                <c:formatCode>0.000</c:formatCode>
                <c:ptCount val="9"/>
                <c:pt idx="0">
                  <c:v>0.48162327718223585</c:v>
                </c:pt>
                <c:pt idx="1">
                  <c:v>0.50555144337527758</c:v>
                </c:pt>
                <c:pt idx="2">
                  <c:v>0.5</c:v>
                </c:pt>
                <c:pt idx="3">
                  <c:v>0.53299492385786806</c:v>
                </c:pt>
                <c:pt idx="4">
                  <c:v>0.5273010920436817</c:v>
                </c:pt>
                <c:pt idx="5">
                  <c:v>0.54740484429065739</c:v>
                </c:pt>
                <c:pt idx="6">
                  <c:v>0.51905626134301275</c:v>
                </c:pt>
                <c:pt idx="7">
                  <c:v>0.51166532582461788</c:v>
                </c:pt>
                <c:pt idx="8">
                  <c:v>0.54373177842565601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D2-E641-8AA5-92678D9FD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089328"/>
        <c:axId val="1356674064"/>
      </c:lineChart>
      <c:catAx>
        <c:axId val="138908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674064"/>
        <c:crosses val="autoZero"/>
        <c:auto val="1"/>
        <c:lblAlgn val="ctr"/>
        <c:lblOffset val="100"/>
        <c:noMultiLvlLbl val="0"/>
      </c:catAx>
      <c:valAx>
        <c:axId val="1356674064"/>
        <c:scaling>
          <c:orientation val="minMax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8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900031778538892"/>
          <c:y val="0.63168949818725983"/>
          <c:w val="0.35966738462624909"/>
          <c:h val="7.9906186072405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634999</xdr:colOff>
      <xdr:row>1</xdr:row>
      <xdr:rowOff>84666</xdr:rowOff>
    </xdr:from>
    <xdr:to>
      <xdr:col>18</xdr:col>
      <xdr:colOff>624417</xdr:colOff>
      <xdr:row>19</xdr:row>
      <xdr:rowOff>74083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1D5A6F-8112-3B43-94A0-B0AB8BED8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560917</xdr:colOff>
      <xdr:row>0</xdr:row>
      <xdr:rowOff>190499</xdr:rowOff>
    </xdr:from>
    <xdr:to>
      <xdr:col>10</xdr:col>
      <xdr:colOff>42333</xdr:colOff>
      <xdr:row>22</xdr:row>
      <xdr:rowOff>169334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9F14D1-DAC9-B549-9404-A4F2FF208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10583</xdr:colOff>
      <xdr:row>17</xdr:row>
      <xdr:rowOff>179917</xdr:rowOff>
    </xdr:from>
    <xdr:to>
      <xdr:col>19</xdr:col>
      <xdr:colOff>486833</xdr:colOff>
      <xdr:row>39</xdr:row>
      <xdr:rowOff>27518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366D2F-2137-8942-B216-033F7C2CF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500F-F19A-D547-8CB8-2C2C62A9F883}">
  <dimension ref="A1:O208"/>
  <sheetViews>
    <sheetView zoomScale="120" zoomScaleNormal="120" workbookViewId="0">
      <pane ySplit="1" topLeftCell="A2" activePane="bottomLeft" state="frozen"/>
      <selection pane="bottomLeft" activeCell="M10" sqref="M10"/>
    </sheetView>
  </sheetViews>
  <sheetFormatPr baseColWidth="10" defaultRowHeight="16" x14ac:dyDescent="0.2"/>
  <cols>
    <col min="2" max="2" width="9.5" customWidth="1"/>
    <col min="5" max="5" width="15" bestFit="1" customWidth="1"/>
    <col min="6" max="6" width="15" customWidth="1"/>
    <col min="9" max="9" width="12.6640625" bestFit="1" customWidth="1"/>
  </cols>
  <sheetData>
    <row r="1" spans="1:15" x14ac:dyDescent="0.2">
      <c r="A1" s="2" t="s">
        <v>2</v>
      </c>
      <c r="B1" s="2" t="s">
        <v>0</v>
      </c>
      <c r="C1" s="2" t="s">
        <v>4</v>
      </c>
      <c r="D1" s="2" t="s">
        <v>1</v>
      </c>
      <c r="E1" s="2" t="s">
        <v>5</v>
      </c>
      <c r="F1" s="2" t="s">
        <v>7</v>
      </c>
      <c r="G1" s="2" t="s">
        <v>3</v>
      </c>
      <c r="H1" s="2" t="s">
        <v>8</v>
      </c>
      <c r="I1" s="2" t="s">
        <v>38</v>
      </c>
      <c r="J1" s="2" t="s">
        <v>52</v>
      </c>
    </row>
    <row r="2" spans="1:15" x14ac:dyDescent="0.2">
      <c r="A2">
        <v>2022</v>
      </c>
      <c r="B2" s="28">
        <v>44775</v>
      </c>
      <c r="C2" s="29">
        <v>0</v>
      </c>
      <c r="D2" s="29">
        <v>6</v>
      </c>
      <c r="E2" s="29">
        <v>35</v>
      </c>
      <c r="F2" s="18">
        <f t="shared" ref="F2:F12" si="0">D2/E2</f>
        <v>0.17142857142857143</v>
      </c>
      <c r="G2" s="29">
        <v>1</v>
      </c>
      <c r="H2" s="18">
        <f t="shared" ref="H2:H12" si="1">G2/D2</f>
        <v>0.16666666666666666</v>
      </c>
      <c r="I2" s="29">
        <v>0</v>
      </c>
      <c r="J2" s="22">
        <v>0.19400000000000001</v>
      </c>
    </row>
    <row r="3" spans="1:15" x14ac:dyDescent="0.2">
      <c r="A3">
        <v>2022</v>
      </c>
      <c r="B3" s="28">
        <v>44780</v>
      </c>
      <c r="C3" s="29">
        <v>1</v>
      </c>
      <c r="D3" s="29">
        <v>10</v>
      </c>
      <c r="E3" s="29">
        <v>37</v>
      </c>
      <c r="F3" s="18">
        <f t="shared" si="0"/>
        <v>0.27027027027027029</v>
      </c>
      <c r="G3" s="29">
        <v>5</v>
      </c>
      <c r="H3" s="18">
        <f t="shared" si="1"/>
        <v>0.5</v>
      </c>
      <c r="I3" s="29">
        <v>0</v>
      </c>
      <c r="J3" s="22">
        <v>0.29399999999999998</v>
      </c>
      <c r="M3" t="s">
        <v>77</v>
      </c>
      <c r="O3" t="s">
        <v>78</v>
      </c>
    </row>
    <row r="4" spans="1:15" x14ac:dyDescent="0.2">
      <c r="A4">
        <v>2022</v>
      </c>
      <c r="B4" s="28">
        <v>44786</v>
      </c>
      <c r="C4" s="29">
        <v>1</v>
      </c>
      <c r="D4" s="29">
        <v>4</v>
      </c>
      <c r="E4" s="29">
        <v>28</v>
      </c>
      <c r="F4" s="18">
        <f t="shared" si="0"/>
        <v>0.14285714285714285</v>
      </c>
      <c r="G4" s="29">
        <v>1</v>
      </c>
      <c r="H4" s="18">
        <f t="shared" si="1"/>
        <v>0.25</v>
      </c>
      <c r="I4" s="29">
        <v>1</v>
      </c>
      <c r="J4" s="22">
        <v>0.14799999999999999</v>
      </c>
      <c r="M4">
        <f>COUNTIF(C2:C208,"1")</f>
        <v>113</v>
      </c>
      <c r="O4">
        <f>COUNTIF(C2:C208,"0")</f>
        <v>94</v>
      </c>
    </row>
    <row r="5" spans="1:15" x14ac:dyDescent="0.2">
      <c r="A5">
        <v>2022</v>
      </c>
      <c r="B5" s="28">
        <v>44791</v>
      </c>
      <c r="C5" s="29">
        <v>0</v>
      </c>
      <c r="D5" s="29">
        <v>6</v>
      </c>
      <c r="E5" s="29">
        <v>33</v>
      </c>
      <c r="F5" s="18">
        <f t="shared" si="0"/>
        <v>0.18181818181818182</v>
      </c>
      <c r="G5" s="29">
        <v>2</v>
      </c>
      <c r="H5" s="18">
        <f t="shared" si="1"/>
        <v>0.33333333333333331</v>
      </c>
      <c r="I5" s="29">
        <v>1</v>
      </c>
      <c r="J5" s="22">
        <v>0.182</v>
      </c>
    </row>
    <row r="6" spans="1:15" x14ac:dyDescent="0.2">
      <c r="A6">
        <v>2022</v>
      </c>
      <c r="B6" s="28">
        <v>44798</v>
      </c>
      <c r="C6" s="29">
        <v>1</v>
      </c>
      <c r="D6" s="29">
        <v>8</v>
      </c>
      <c r="E6" s="29">
        <v>36</v>
      </c>
      <c r="F6" s="18">
        <f t="shared" si="0"/>
        <v>0.22222222222222221</v>
      </c>
      <c r="G6" s="29">
        <v>3</v>
      </c>
      <c r="H6" s="29">
        <f t="shared" si="1"/>
        <v>0.375</v>
      </c>
      <c r="I6" s="29">
        <v>0</v>
      </c>
      <c r="J6" s="22">
        <v>0.25800000000000001</v>
      </c>
      <c r="M6" t="s">
        <v>79</v>
      </c>
    </row>
    <row r="7" spans="1:15" x14ac:dyDescent="0.2">
      <c r="A7">
        <v>2022</v>
      </c>
      <c r="B7" s="28">
        <v>44804</v>
      </c>
      <c r="C7" s="29">
        <v>1</v>
      </c>
      <c r="D7" s="29">
        <v>8</v>
      </c>
      <c r="E7" s="29">
        <v>31</v>
      </c>
      <c r="F7" s="18">
        <f t="shared" si="0"/>
        <v>0.25806451612903225</v>
      </c>
      <c r="G7" s="29">
        <v>2</v>
      </c>
      <c r="H7" s="29">
        <f t="shared" si="1"/>
        <v>0.25</v>
      </c>
      <c r="I7" s="29">
        <v>1</v>
      </c>
      <c r="J7" s="22">
        <v>0.25800000000000001</v>
      </c>
      <c r="M7">
        <f>COUNT(C2:C208)</f>
        <v>207</v>
      </c>
    </row>
    <row r="8" spans="1:15" x14ac:dyDescent="0.2">
      <c r="A8">
        <v>2022</v>
      </c>
      <c r="B8" s="26">
        <v>44811</v>
      </c>
      <c r="C8" s="27">
        <v>1</v>
      </c>
      <c r="D8" s="27">
        <v>17</v>
      </c>
      <c r="E8" s="27">
        <v>50</v>
      </c>
      <c r="F8" s="27">
        <f t="shared" si="0"/>
        <v>0.34</v>
      </c>
      <c r="G8" s="27">
        <v>10</v>
      </c>
      <c r="H8" s="3">
        <f t="shared" si="1"/>
        <v>0.58823529411764708</v>
      </c>
      <c r="I8" s="27">
        <v>0</v>
      </c>
      <c r="J8" s="16">
        <v>0.40500000000000003</v>
      </c>
    </row>
    <row r="9" spans="1:15" x14ac:dyDescent="0.2">
      <c r="A9">
        <v>2022</v>
      </c>
      <c r="B9" s="1">
        <v>44817</v>
      </c>
      <c r="C9" s="27">
        <v>0</v>
      </c>
      <c r="D9" s="27">
        <v>4</v>
      </c>
      <c r="E9" s="27">
        <v>34</v>
      </c>
      <c r="F9" s="22">
        <f t="shared" si="0"/>
        <v>0.11764705882352941</v>
      </c>
      <c r="G9" s="27">
        <v>1</v>
      </c>
      <c r="H9" s="3">
        <f t="shared" si="1"/>
        <v>0.25</v>
      </c>
      <c r="I9" s="27">
        <v>0</v>
      </c>
      <c r="J9" s="22">
        <v>0.13800000000000001</v>
      </c>
      <c r="M9">
        <f>M4/M7</f>
        <v>0.54589371980676327</v>
      </c>
    </row>
    <row r="10" spans="1:15" x14ac:dyDescent="0.2">
      <c r="A10">
        <v>2022</v>
      </c>
      <c r="B10" s="28">
        <v>44822</v>
      </c>
      <c r="C10" s="29">
        <v>1</v>
      </c>
      <c r="D10" s="29">
        <v>12</v>
      </c>
      <c r="E10" s="29">
        <v>44</v>
      </c>
      <c r="F10" s="18">
        <f t="shared" si="0"/>
        <v>0.27272727272727271</v>
      </c>
      <c r="G10" s="29">
        <v>7</v>
      </c>
      <c r="H10" s="39">
        <f t="shared" si="1"/>
        <v>0.58333333333333337</v>
      </c>
      <c r="I10" s="29">
        <v>0</v>
      </c>
      <c r="J10" s="22">
        <v>0.32400000000000001</v>
      </c>
    </row>
    <row r="11" spans="1:15" x14ac:dyDescent="0.2">
      <c r="A11">
        <v>2022</v>
      </c>
      <c r="B11" s="26">
        <v>44828</v>
      </c>
      <c r="C11" s="27">
        <v>0</v>
      </c>
      <c r="D11" s="27">
        <v>9</v>
      </c>
      <c r="E11" s="27">
        <v>37</v>
      </c>
      <c r="F11" s="18">
        <f t="shared" si="0"/>
        <v>0.24324324324324326</v>
      </c>
      <c r="G11" s="27">
        <v>4</v>
      </c>
      <c r="H11" s="3">
        <f t="shared" si="1"/>
        <v>0.44444444444444442</v>
      </c>
      <c r="I11" s="27">
        <v>0</v>
      </c>
      <c r="J11" s="22">
        <v>0.28100000000000003</v>
      </c>
    </row>
    <row r="12" spans="1:15" x14ac:dyDescent="0.2">
      <c r="A12">
        <v>2022</v>
      </c>
      <c r="B12" s="26">
        <v>44834</v>
      </c>
      <c r="C12" s="27">
        <v>0</v>
      </c>
      <c r="D12" s="27">
        <v>8</v>
      </c>
      <c r="E12" s="27">
        <v>35</v>
      </c>
      <c r="F12" s="38">
        <f t="shared" si="0"/>
        <v>0.22857142857142856</v>
      </c>
      <c r="G12" s="27">
        <v>2</v>
      </c>
      <c r="H12" s="3">
        <f t="shared" si="1"/>
        <v>0.25</v>
      </c>
      <c r="I12" s="27">
        <v>1</v>
      </c>
      <c r="J12" s="6">
        <v>0.24199999999999999</v>
      </c>
    </row>
    <row r="13" spans="1:15" x14ac:dyDescent="0.2">
      <c r="A13" s="23">
        <v>2021</v>
      </c>
      <c r="B13" s="24">
        <v>44291</v>
      </c>
      <c r="C13" s="23">
        <v>0</v>
      </c>
      <c r="D13" s="23">
        <v>10</v>
      </c>
      <c r="E13" s="23">
        <v>40</v>
      </c>
      <c r="F13" s="25">
        <f t="shared" ref="F13:F27" si="2">D13/E13</f>
        <v>0.25</v>
      </c>
      <c r="G13" s="23">
        <v>3</v>
      </c>
      <c r="H13" s="25">
        <f t="shared" ref="H13:H27" si="3">G13/D13</f>
        <v>0.3</v>
      </c>
      <c r="I13" s="23">
        <v>0</v>
      </c>
      <c r="J13" s="22">
        <v>0.27800000000000002</v>
      </c>
    </row>
    <row r="14" spans="1:15" x14ac:dyDescent="0.2">
      <c r="A14">
        <v>2021</v>
      </c>
      <c r="B14" s="1">
        <v>44296</v>
      </c>
      <c r="C14">
        <v>0</v>
      </c>
      <c r="D14">
        <v>3</v>
      </c>
      <c r="E14">
        <v>31</v>
      </c>
      <c r="F14" s="3">
        <f t="shared" si="2"/>
        <v>9.6774193548387094E-2</v>
      </c>
      <c r="G14">
        <v>0</v>
      </c>
      <c r="H14" s="3">
        <f t="shared" si="3"/>
        <v>0</v>
      </c>
      <c r="I14">
        <v>0</v>
      </c>
      <c r="J14" s="3">
        <v>0.107</v>
      </c>
    </row>
    <row r="15" spans="1:15" x14ac:dyDescent="0.2">
      <c r="A15">
        <v>2021</v>
      </c>
      <c r="B15" s="1">
        <v>44303</v>
      </c>
      <c r="C15">
        <v>1</v>
      </c>
      <c r="D15">
        <v>11</v>
      </c>
      <c r="E15">
        <v>32</v>
      </c>
      <c r="F15" s="3">
        <f t="shared" si="2"/>
        <v>0.34375</v>
      </c>
      <c r="G15">
        <v>3</v>
      </c>
      <c r="H15" s="3">
        <f t="shared" si="3"/>
        <v>0.27272727272727271</v>
      </c>
      <c r="I15">
        <v>0</v>
      </c>
      <c r="J15" s="3">
        <v>0.36699999999999999</v>
      </c>
    </row>
    <row r="16" spans="1:15" x14ac:dyDescent="0.2">
      <c r="A16">
        <v>2021</v>
      </c>
      <c r="B16" s="1">
        <v>44309</v>
      </c>
      <c r="C16">
        <v>1</v>
      </c>
      <c r="D16">
        <v>11</v>
      </c>
      <c r="E16">
        <v>38</v>
      </c>
      <c r="F16" s="3">
        <f t="shared" si="2"/>
        <v>0.28947368421052633</v>
      </c>
      <c r="G16">
        <v>6</v>
      </c>
      <c r="H16" s="3">
        <f t="shared" si="3"/>
        <v>0.54545454545454541</v>
      </c>
      <c r="I16">
        <v>0</v>
      </c>
      <c r="J16" s="3">
        <v>0.32400000000000001</v>
      </c>
    </row>
    <row r="17" spans="1:10" x14ac:dyDescent="0.2">
      <c r="A17" s="16">
        <v>2021</v>
      </c>
      <c r="B17" s="17">
        <v>44314</v>
      </c>
      <c r="C17" s="16">
        <v>0</v>
      </c>
      <c r="D17" s="16">
        <v>2</v>
      </c>
      <c r="E17" s="16">
        <v>33</v>
      </c>
      <c r="F17" s="18">
        <f t="shared" si="2"/>
        <v>6.0606060606060608E-2</v>
      </c>
      <c r="G17" s="16">
        <v>0</v>
      </c>
      <c r="H17" s="18">
        <f t="shared" si="3"/>
        <v>0</v>
      </c>
      <c r="I17" s="16">
        <v>0</v>
      </c>
      <c r="J17" s="3">
        <v>7.0999999999999994E-2</v>
      </c>
    </row>
    <row r="18" spans="1:10" x14ac:dyDescent="0.2">
      <c r="A18" s="16">
        <v>2021</v>
      </c>
      <c r="B18" s="17">
        <v>44325</v>
      </c>
      <c r="C18" s="15">
        <v>1</v>
      </c>
      <c r="D18" s="15">
        <v>7</v>
      </c>
      <c r="E18" s="15">
        <v>35</v>
      </c>
      <c r="F18" s="22">
        <f t="shared" si="2"/>
        <v>0.2</v>
      </c>
      <c r="G18" s="15">
        <v>4</v>
      </c>
      <c r="H18" s="22">
        <f t="shared" si="3"/>
        <v>0.5714285714285714</v>
      </c>
      <c r="I18" s="15">
        <v>0</v>
      </c>
      <c r="J18" s="3">
        <v>0.23300000000000001</v>
      </c>
    </row>
    <row r="19" spans="1:10" x14ac:dyDescent="0.2">
      <c r="A19" s="16">
        <v>2021</v>
      </c>
      <c r="B19" s="1">
        <v>44341</v>
      </c>
      <c r="C19" s="15">
        <v>1</v>
      </c>
      <c r="D19" s="15">
        <v>9</v>
      </c>
      <c r="E19" s="15">
        <v>33</v>
      </c>
      <c r="F19" s="22">
        <f t="shared" si="2"/>
        <v>0.27272727272727271</v>
      </c>
      <c r="G19" s="15">
        <v>3</v>
      </c>
      <c r="H19" s="22">
        <f t="shared" si="3"/>
        <v>0.33333333333333331</v>
      </c>
      <c r="I19" s="15">
        <v>0</v>
      </c>
      <c r="J19" s="3">
        <v>0.3</v>
      </c>
    </row>
    <row r="20" spans="1:10" x14ac:dyDescent="0.2">
      <c r="A20" s="16">
        <v>2021</v>
      </c>
      <c r="B20" s="1">
        <v>44347</v>
      </c>
      <c r="C20" s="15">
        <v>1</v>
      </c>
      <c r="D20" s="15">
        <v>13</v>
      </c>
      <c r="E20" s="15">
        <v>41</v>
      </c>
      <c r="F20" s="22">
        <f t="shared" si="2"/>
        <v>0.31707317073170732</v>
      </c>
      <c r="G20" s="15">
        <v>6</v>
      </c>
      <c r="H20" s="22">
        <f t="shared" si="3"/>
        <v>0.46153846153846156</v>
      </c>
      <c r="I20" s="15">
        <v>0</v>
      </c>
      <c r="J20" s="3">
        <v>0.33300000000000002</v>
      </c>
    </row>
    <row r="21" spans="1:10" x14ac:dyDescent="0.2">
      <c r="A21" s="16">
        <v>2021</v>
      </c>
      <c r="B21" s="1">
        <v>44352</v>
      </c>
      <c r="C21" s="15">
        <v>1</v>
      </c>
      <c r="D21" s="15">
        <v>13</v>
      </c>
      <c r="E21" s="15">
        <v>44</v>
      </c>
      <c r="F21" s="22">
        <f t="shared" si="2"/>
        <v>0.29545454545454547</v>
      </c>
      <c r="G21" s="15">
        <v>4</v>
      </c>
      <c r="H21" s="22">
        <f t="shared" si="3"/>
        <v>0.30769230769230771</v>
      </c>
      <c r="I21" s="15">
        <v>1</v>
      </c>
      <c r="J21" s="3">
        <v>0.32500000000000001</v>
      </c>
    </row>
    <row r="22" spans="1:10" x14ac:dyDescent="0.2">
      <c r="A22" s="16">
        <v>2021</v>
      </c>
      <c r="B22" s="1">
        <v>44358</v>
      </c>
      <c r="C22" s="15">
        <v>1</v>
      </c>
      <c r="D22" s="15">
        <v>5</v>
      </c>
      <c r="E22" s="15">
        <v>32</v>
      </c>
      <c r="F22" s="3">
        <f t="shared" si="2"/>
        <v>0.15625</v>
      </c>
      <c r="G22" s="15">
        <v>3</v>
      </c>
      <c r="H22" s="3">
        <f t="shared" si="3"/>
        <v>0.6</v>
      </c>
      <c r="I22" s="15">
        <v>0</v>
      </c>
      <c r="J22" s="3">
        <v>0.25</v>
      </c>
    </row>
    <row r="23" spans="1:10" x14ac:dyDescent="0.2">
      <c r="A23" s="16">
        <v>2021</v>
      </c>
      <c r="B23" s="1">
        <v>44363</v>
      </c>
      <c r="C23" s="15">
        <v>1</v>
      </c>
      <c r="D23" s="15">
        <v>5</v>
      </c>
      <c r="E23" s="15">
        <v>35</v>
      </c>
      <c r="F23" s="3">
        <f t="shared" si="2"/>
        <v>0.14285714285714285</v>
      </c>
      <c r="G23" s="15">
        <v>6</v>
      </c>
      <c r="H23" s="3">
        <f t="shared" si="3"/>
        <v>1.2</v>
      </c>
      <c r="I23" s="15">
        <v>0</v>
      </c>
      <c r="J23" s="3">
        <v>0.17899999999999999</v>
      </c>
    </row>
    <row r="24" spans="1:10" x14ac:dyDescent="0.2">
      <c r="A24" s="16">
        <v>2021</v>
      </c>
      <c r="B24" s="1">
        <v>44368</v>
      </c>
      <c r="C24" s="15">
        <v>1</v>
      </c>
      <c r="D24" s="15">
        <v>4</v>
      </c>
      <c r="E24" s="15">
        <v>27</v>
      </c>
      <c r="F24" s="3">
        <f t="shared" si="2"/>
        <v>0.14814814814814814</v>
      </c>
      <c r="G24" s="15">
        <v>4</v>
      </c>
      <c r="H24" s="3">
        <f t="shared" si="3"/>
        <v>1</v>
      </c>
      <c r="I24" s="15">
        <v>0</v>
      </c>
      <c r="J24" s="3">
        <v>0.182</v>
      </c>
    </row>
    <row r="25" spans="1:10" x14ac:dyDescent="0.2">
      <c r="A25" s="16">
        <v>2021</v>
      </c>
      <c r="B25" s="1">
        <v>44373</v>
      </c>
      <c r="C25" s="15">
        <v>1</v>
      </c>
      <c r="D25" s="15">
        <v>8</v>
      </c>
      <c r="E25" s="15">
        <v>39</v>
      </c>
      <c r="F25" s="3">
        <f t="shared" si="2"/>
        <v>0.20512820512820512</v>
      </c>
      <c r="G25" s="15">
        <v>4</v>
      </c>
      <c r="H25" s="3">
        <f t="shared" si="3"/>
        <v>0.5</v>
      </c>
      <c r="I25" s="15">
        <v>0</v>
      </c>
      <c r="J25" s="3">
        <v>0.23499999999999999</v>
      </c>
    </row>
    <row r="26" spans="1:10" x14ac:dyDescent="0.2">
      <c r="A26" s="16">
        <v>2021</v>
      </c>
      <c r="B26" s="1">
        <v>44378</v>
      </c>
      <c r="C26" s="15">
        <v>0</v>
      </c>
      <c r="D26" s="15">
        <v>6</v>
      </c>
      <c r="E26" s="15">
        <v>36</v>
      </c>
      <c r="F26" s="3">
        <f t="shared" si="2"/>
        <v>0.16666666666666666</v>
      </c>
      <c r="G26" s="15">
        <v>3</v>
      </c>
      <c r="H26" s="3">
        <f t="shared" si="3"/>
        <v>0.5</v>
      </c>
      <c r="I26" s="15">
        <v>0</v>
      </c>
      <c r="J26" s="3">
        <v>0.182</v>
      </c>
    </row>
    <row r="27" spans="1:10" x14ac:dyDescent="0.2">
      <c r="A27" s="6">
        <v>2021</v>
      </c>
      <c r="B27" s="7">
        <v>44384</v>
      </c>
      <c r="C27" s="6">
        <v>1</v>
      </c>
      <c r="D27" s="6">
        <v>8</v>
      </c>
      <c r="E27" s="6">
        <v>32</v>
      </c>
      <c r="F27" s="8">
        <f t="shared" si="2"/>
        <v>0.25</v>
      </c>
      <c r="G27" s="6">
        <v>4</v>
      </c>
      <c r="H27" s="8">
        <f t="shared" si="3"/>
        <v>0.5</v>
      </c>
      <c r="I27" s="6">
        <v>1</v>
      </c>
      <c r="J27" s="6">
        <v>0.27600000000000002</v>
      </c>
    </row>
    <row r="28" spans="1:10" x14ac:dyDescent="0.2">
      <c r="A28">
        <v>2020</v>
      </c>
      <c r="B28" s="1">
        <v>44036</v>
      </c>
      <c r="C28">
        <v>1</v>
      </c>
      <c r="D28">
        <v>6</v>
      </c>
      <c r="E28">
        <v>29</v>
      </c>
      <c r="F28" s="3">
        <f t="shared" ref="F28:F54" si="4">D28/E28</f>
        <v>0.20689655172413793</v>
      </c>
      <c r="G28">
        <v>1</v>
      </c>
      <c r="H28" s="3">
        <f t="shared" ref="H28:H40" si="5">G28/D28</f>
        <v>0.16666666666666666</v>
      </c>
      <c r="I28" s="15">
        <v>0</v>
      </c>
      <c r="J28" s="3">
        <v>0.214</v>
      </c>
    </row>
    <row r="29" spans="1:10" x14ac:dyDescent="0.2">
      <c r="A29">
        <v>2020</v>
      </c>
      <c r="B29" s="1">
        <v>44041</v>
      </c>
      <c r="C29">
        <v>0</v>
      </c>
      <c r="D29">
        <v>15</v>
      </c>
      <c r="E29">
        <v>43</v>
      </c>
      <c r="F29" s="3">
        <f t="shared" si="4"/>
        <v>0.34883720930232559</v>
      </c>
      <c r="G29">
        <v>5</v>
      </c>
      <c r="H29" s="3">
        <f t="shared" si="5"/>
        <v>0.33333333333333331</v>
      </c>
      <c r="I29" s="15">
        <v>0</v>
      </c>
      <c r="J29" s="3">
        <v>0.39500000000000002</v>
      </c>
    </row>
    <row r="30" spans="1:10" x14ac:dyDescent="0.2">
      <c r="A30">
        <v>2020</v>
      </c>
      <c r="B30" s="1">
        <v>44046</v>
      </c>
      <c r="C30">
        <v>1</v>
      </c>
      <c r="D30">
        <v>9</v>
      </c>
      <c r="E30">
        <v>42</v>
      </c>
      <c r="F30" s="3">
        <f t="shared" si="4"/>
        <v>0.21428571428571427</v>
      </c>
      <c r="G30">
        <v>7</v>
      </c>
      <c r="H30" s="3">
        <f t="shared" si="5"/>
        <v>0.77777777777777779</v>
      </c>
      <c r="I30" s="15">
        <v>0</v>
      </c>
      <c r="J30" s="3">
        <v>0.26500000000000001</v>
      </c>
    </row>
    <row r="31" spans="1:10" x14ac:dyDescent="0.2">
      <c r="A31">
        <v>2020</v>
      </c>
      <c r="B31" s="1">
        <v>44052</v>
      </c>
      <c r="C31">
        <v>1</v>
      </c>
      <c r="D31">
        <v>8</v>
      </c>
      <c r="E31">
        <v>37</v>
      </c>
      <c r="F31" s="3">
        <f t="shared" si="4"/>
        <v>0.21621621621621623</v>
      </c>
      <c r="G31">
        <v>4</v>
      </c>
      <c r="H31" s="3">
        <f t="shared" si="5"/>
        <v>0.5</v>
      </c>
      <c r="I31" s="15">
        <v>0</v>
      </c>
      <c r="J31" s="3">
        <v>0.26700000000000002</v>
      </c>
    </row>
    <row r="32" spans="1:10" x14ac:dyDescent="0.2">
      <c r="A32">
        <v>2020</v>
      </c>
      <c r="B32" s="1">
        <v>44062</v>
      </c>
      <c r="C32">
        <v>1</v>
      </c>
      <c r="D32">
        <v>10</v>
      </c>
      <c r="E32">
        <v>39</v>
      </c>
      <c r="F32" s="3">
        <f t="shared" si="4"/>
        <v>0.25641025641025639</v>
      </c>
      <c r="G32">
        <v>5</v>
      </c>
      <c r="H32" s="3">
        <f t="shared" si="5"/>
        <v>0.5</v>
      </c>
      <c r="I32" s="15">
        <v>0</v>
      </c>
      <c r="J32" s="3">
        <v>0.29399999999999998</v>
      </c>
    </row>
    <row r="33" spans="1:10" x14ac:dyDescent="0.2">
      <c r="A33">
        <v>2020</v>
      </c>
      <c r="B33" s="1">
        <v>44069</v>
      </c>
      <c r="C33">
        <v>1</v>
      </c>
      <c r="D33">
        <v>9</v>
      </c>
      <c r="E33">
        <v>36</v>
      </c>
      <c r="F33" s="3">
        <f t="shared" si="4"/>
        <v>0.25</v>
      </c>
      <c r="G33">
        <v>5</v>
      </c>
      <c r="H33" s="3">
        <f t="shared" si="5"/>
        <v>0.55555555555555558</v>
      </c>
      <c r="I33" s="15">
        <v>0</v>
      </c>
      <c r="J33" s="3">
        <v>0.28100000000000003</v>
      </c>
    </row>
    <row r="34" spans="1:10" x14ac:dyDescent="0.2">
      <c r="A34">
        <v>2020</v>
      </c>
      <c r="B34" s="1">
        <v>44074</v>
      </c>
      <c r="C34">
        <v>0</v>
      </c>
      <c r="D34">
        <v>8</v>
      </c>
      <c r="E34">
        <v>35</v>
      </c>
      <c r="F34" s="3">
        <f t="shared" si="4"/>
        <v>0.22857142857142856</v>
      </c>
      <c r="G34">
        <v>3</v>
      </c>
      <c r="H34" s="3">
        <f t="shared" si="5"/>
        <v>0.375</v>
      </c>
      <c r="I34" s="15">
        <v>0</v>
      </c>
      <c r="J34" s="3">
        <v>0.25</v>
      </c>
    </row>
    <row r="35" spans="1:10" x14ac:dyDescent="0.2">
      <c r="A35">
        <v>2020</v>
      </c>
      <c r="B35" s="1">
        <v>44080</v>
      </c>
      <c r="C35">
        <v>1</v>
      </c>
      <c r="D35">
        <v>17</v>
      </c>
      <c r="E35">
        <v>46</v>
      </c>
      <c r="F35" s="3">
        <f t="shared" si="4"/>
        <v>0.36956521739130432</v>
      </c>
      <c r="G35">
        <v>14</v>
      </c>
      <c r="H35" s="3">
        <f t="shared" si="5"/>
        <v>0.82352941176470584</v>
      </c>
      <c r="I35" s="15">
        <v>1</v>
      </c>
      <c r="J35" s="3">
        <v>0.40500000000000003</v>
      </c>
    </row>
    <row r="36" spans="1:10" x14ac:dyDescent="0.2">
      <c r="A36">
        <v>2020</v>
      </c>
      <c r="B36" s="1">
        <v>44085</v>
      </c>
      <c r="C36">
        <v>1</v>
      </c>
      <c r="D36">
        <v>19</v>
      </c>
      <c r="E36">
        <v>55</v>
      </c>
      <c r="F36" s="3">
        <f t="shared" si="4"/>
        <v>0.34545454545454546</v>
      </c>
      <c r="G36">
        <v>18</v>
      </c>
      <c r="H36" s="3">
        <f t="shared" si="5"/>
        <v>0.94736842105263153</v>
      </c>
      <c r="I36" s="15">
        <v>0</v>
      </c>
      <c r="J36" s="3">
        <v>0.40400000000000003</v>
      </c>
    </row>
    <row r="37" spans="1:10" x14ac:dyDescent="0.2">
      <c r="A37">
        <v>2020</v>
      </c>
      <c r="B37" s="1">
        <v>44090</v>
      </c>
      <c r="C37">
        <v>1</v>
      </c>
      <c r="D37">
        <v>10</v>
      </c>
      <c r="E37">
        <v>36</v>
      </c>
      <c r="F37" s="3">
        <f t="shared" si="4"/>
        <v>0.27777777777777779</v>
      </c>
      <c r="G37">
        <v>5</v>
      </c>
      <c r="H37" s="3">
        <f t="shared" si="5"/>
        <v>0.5</v>
      </c>
      <c r="I37" s="15">
        <v>1</v>
      </c>
      <c r="J37" s="3">
        <v>0.29399999999999998</v>
      </c>
    </row>
    <row r="38" spans="1:10" x14ac:dyDescent="0.2">
      <c r="A38">
        <v>2020</v>
      </c>
      <c r="B38" s="1">
        <v>44095</v>
      </c>
      <c r="C38">
        <v>0</v>
      </c>
      <c r="D38">
        <v>4</v>
      </c>
      <c r="E38">
        <v>34</v>
      </c>
      <c r="F38" s="3">
        <f t="shared" si="4"/>
        <v>0.11764705882352941</v>
      </c>
      <c r="G38">
        <v>1</v>
      </c>
      <c r="H38" s="3">
        <f t="shared" si="5"/>
        <v>0.25</v>
      </c>
      <c r="I38" s="15">
        <v>0</v>
      </c>
      <c r="J38" s="3">
        <v>0.13300000000000001</v>
      </c>
    </row>
    <row r="39" spans="1:10" x14ac:dyDescent="0.2">
      <c r="A39" s="6">
        <v>2020</v>
      </c>
      <c r="B39" s="7">
        <v>44100</v>
      </c>
      <c r="C39" s="6">
        <v>0</v>
      </c>
      <c r="D39" s="6">
        <v>6</v>
      </c>
      <c r="E39" s="6">
        <v>30</v>
      </c>
      <c r="F39" s="8">
        <f t="shared" si="4"/>
        <v>0.2</v>
      </c>
      <c r="G39" s="6">
        <v>4</v>
      </c>
      <c r="H39" s="8">
        <f t="shared" si="5"/>
        <v>0.66666666666666663</v>
      </c>
      <c r="I39" s="6">
        <v>1</v>
      </c>
      <c r="J39" s="6">
        <v>0.25</v>
      </c>
    </row>
    <row r="40" spans="1:10" x14ac:dyDescent="0.2">
      <c r="A40">
        <v>2019</v>
      </c>
      <c r="B40" s="1">
        <v>43552</v>
      </c>
      <c r="C40">
        <v>1</v>
      </c>
      <c r="D40">
        <v>5</v>
      </c>
      <c r="E40">
        <v>34</v>
      </c>
      <c r="F40" s="3">
        <f t="shared" si="4"/>
        <v>0.14705882352941177</v>
      </c>
      <c r="G40">
        <v>2</v>
      </c>
      <c r="H40" s="3">
        <f t="shared" si="5"/>
        <v>0.4</v>
      </c>
      <c r="I40" s="15">
        <v>1</v>
      </c>
      <c r="J40" s="3">
        <v>0.161</v>
      </c>
    </row>
    <row r="41" spans="1:10" x14ac:dyDescent="0.2">
      <c r="A41">
        <v>2019</v>
      </c>
      <c r="B41" s="1">
        <v>43558</v>
      </c>
      <c r="C41">
        <v>1</v>
      </c>
      <c r="D41">
        <v>10</v>
      </c>
      <c r="E41">
        <v>41</v>
      </c>
      <c r="F41" s="3">
        <f t="shared" si="4"/>
        <v>0.24390243902439024</v>
      </c>
      <c r="G41">
        <v>6</v>
      </c>
      <c r="H41" s="3">
        <f t="shared" ref="H41:H208" si="6">G41/D41</f>
        <v>0.6</v>
      </c>
      <c r="I41" s="15">
        <v>0</v>
      </c>
      <c r="J41" s="3">
        <v>0.26300000000000001</v>
      </c>
    </row>
    <row r="42" spans="1:10" x14ac:dyDescent="0.2">
      <c r="A42">
        <v>2019</v>
      </c>
      <c r="B42" s="1">
        <v>43564</v>
      </c>
      <c r="C42">
        <v>0</v>
      </c>
      <c r="D42">
        <v>11</v>
      </c>
      <c r="E42">
        <v>45</v>
      </c>
      <c r="F42" s="3">
        <f t="shared" si="4"/>
        <v>0.24444444444444444</v>
      </c>
      <c r="G42">
        <v>8</v>
      </c>
      <c r="H42" s="3">
        <f t="shared" si="6"/>
        <v>0.72727272727272729</v>
      </c>
      <c r="I42" s="15">
        <v>0</v>
      </c>
      <c r="J42" s="3">
        <v>0.28899999999999998</v>
      </c>
    </row>
    <row r="43" spans="1:10" x14ac:dyDescent="0.2">
      <c r="A43">
        <v>2019</v>
      </c>
      <c r="B43" s="1">
        <v>43569</v>
      </c>
      <c r="C43">
        <v>0</v>
      </c>
      <c r="D43">
        <v>11</v>
      </c>
      <c r="E43">
        <v>40</v>
      </c>
      <c r="F43" s="3">
        <f t="shared" si="4"/>
        <v>0.27500000000000002</v>
      </c>
      <c r="G43">
        <v>3</v>
      </c>
      <c r="H43" s="3">
        <f t="shared" si="6"/>
        <v>0.27272727272727271</v>
      </c>
      <c r="I43" s="15">
        <v>0</v>
      </c>
      <c r="J43" s="3">
        <v>0.28899999999999998</v>
      </c>
    </row>
    <row r="44" spans="1:10" x14ac:dyDescent="0.2">
      <c r="A44">
        <v>2019</v>
      </c>
      <c r="B44" s="1">
        <v>43581</v>
      </c>
      <c r="C44">
        <v>0</v>
      </c>
      <c r="D44">
        <v>7</v>
      </c>
      <c r="E44">
        <v>38</v>
      </c>
      <c r="F44" s="3">
        <f t="shared" si="4"/>
        <v>0.18421052631578946</v>
      </c>
      <c r="G44">
        <v>2</v>
      </c>
      <c r="H44" s="3">
        <f t="shared" si="6"/>
        <v>0.2857142857142857</v>
      </c>
      <c r="I44" s="15">
        <v>0</v>
      </c>
      <c r="J44" s="3">
        <v>0.20599999999999999</v>
      </c>
    </row>
    <row r="45" spans="1:10" x14ac:dyDescent="0.2">
      <c r="A45">
        <v>2019</v>
      </c>
      <c r="B45" s="1">
        <v>43586</v>
      </c>
      <c r="C45">
        <v>0</v>
      </c>
      <c r="D45">
        <v>5</v>
      </c>
      <c r="E45">
        <v>33</v>
      </c>
      <c r="F45" s="3">
        <f t="shared" si="4"/>
        <v>0.15151515151515152</v>
      </c>
      <c r="G45">
        <v>0</v>
      </c>
      <c r="H45" s="3">
        <f t="shared" si="6"/>
        <v>0</v>
      </c>
      <c r="I45" s="15">
        <v>0</v>
      </c>
      <c r="J45" s="3">
        <v>0.156</v>
      </c>
    </row>
    <row r="46" spans="1:10" x14ac:dyDescent="0.2">
      <c r="A46">
        <v>2019</v>
      </c>
      <c r="B46" s="1">
        <v>43591</v>
      </c>
      <c r="C46">
        <v>0</v>
      </c>
      <c r="D46">
        <v>4</v>
      </c>
      <c r="E46">
        <v>32</v>
      </c>
      <c r="F46" s="3">
        <f t="shared" si="4"/>
        <v>0.125</v>
      </c>
      <c r="G46">
        <v>0</v>
      </c>
      <c r="H46" s="3">
        <f t="shared" si="6"/>
        <v>0</v>
      </c>
      <c r="I46" s="15">
        <v>0</v>
      </c>
      <c r="J46" s="3">
        <v>0.129</v>
      </c>
    </row>
    <row r="47" spans="1:10" x14ac:dyDescent="0.2">
      <c r="A47">
        <v>2019</v>
      </c>
      <c r="B47" s="1">
        <v>43596</v>
      </c>
      <c r="C47">
        <v>1</v>
      </c>
      <c r="D47">
        <v>9</v>
      </c>
      <c r="E47">
        <v>35</v>
      </c>
      <c r="F47" s="3">
        <f t="shared" si="4"/>
        <v>0.25714285714285712</v>
      </c>
      <c r="G47">
        <v>4</v>
      </c>
      <c r="H47" s="3">
        <f t="shared" si="6"/>
        <v>0.44444444444444442</v>
      </c>
      <c r="I47" s="15">
        <v>0</v>
      </c>
      <c r="J47" s="3">
        <v>0.28999999999999998</v>
      </c>
    </row>
    <row r="48" spans="1:10" x14ac:dyDescent="0.2">
      <c r="A48">
        <v>2019</v>
      </c>
      <c r="B48" s="1">
        <v>43602</v>
      </c>
      <c r="C48">
        <v>0</v>
      </c>
      <c r="D48">
        <v>12</v>
      </c>
      <c r="E48">
        <v>42</v>
      </c>
      <c r="F48" s="3">
        <f t="shared" si="4"/>
        <v>0.2857142857142857</v>
      </c>
      <c r="G48">
        <v>6</v>
      </c>
      <c r="H48" s="3">
        <f t="shared" si="6"/>
        <v>0.5</v>
      </c>
      <c r="I48" s="15">
        <v>0</v>
      </c>
      <c r="J48" s="3">
        <v>0.33300000000000002</v>
      </c>
    </row>
    <row r="49" spans="1:10" x14ac:dyDescent="0.2">
      <c r="A49">
        <v>2019</v>
      </c>
      <c r="B49" s="1">
        <v>43607</v>
      </c>
      <c r="C49">
        <v>1</v>
      </c>
      <c r="D49">
        <v>7</v>
      </c>
      <c r="E49">
        <v>37</v>
      </c>
      <c r="F49" s="3">
        <f t="shared" si="4"/>
        <v>0.1891891891891892</v>
      </c>
      <c r="G49">
        <v>6</v>
      </c>
      <c r="H49" s="3">
        <f t="shared" si="6"/>
        <v>0.8571428571428571</v>
      </c>
      <c r="I49" s="15">
        <v>1</v>
      </c>
      <c r="J49" s="3">
        <v>0.219</v>
      </c>
    </row>
    <row r="50" spans="1:10" x14ac:dyDescent="0.2">
      <c r="A50">
        <v>2019</v>
      </c>
      <c r="B50" s="1">
        <v>43612</v>
      </c>
      <c r="C50">
        <v>0</v>
      </c>
      <c r="D50">
        <v>15</v>
      </c>
      <c r="E50">
        <v>42</v>
      </c>
      <c r="F50" s="3">
        <f t="shared" si="4"/>
        <v>0.35714285714285715</v>
      </c>
      <c r="G50">
        <v>5</v>
      </c>
      <c r="H50" s="3">
        <f t="shared" si="6"/>
        <v>0.33333333333333331</v>
      </c>
      <c r="I50" s="15">
        <v>1</v>
      </c>
      <c r="J50" s="3">
        <v>0.375</v>
      </c>
    </row>
    <row r="51" spans="1:10" x14ac:dyDescent="0.2">
      <c r="A51">
        <v>2019</v>
      </c>
      <c r="B51" s="1">
        <v>43617</v>
      </c>
      <c r="C51">
        <v>0</v>
      </c>
      <c r="D51">
        <v>9</v>
      </c>
      <c r="E51">
        <v>42</v>
      </c>
      <c r="F51" s="3">
        <f t="shared" si="4"/>
        <v>0.21428571428571427</v>
      </c>
      <c r="G51">
        <v>5</v>
      </c>
      <c r="H51" s="3">
        <f t="shared" si="6"/>
        <v>0.55555555555555558</v>
      </c>
      <c r="I51" s="15">
        <v>1</v>
      </c>
      <c r="J51" s="3">
        <v>0.22500000000000001</v>
      </c>
    </row>
    <row r="52" spans="1:10" x14ac:dyDescent="0.2">
      <c r="A52">
        <v>2019</v>
      </c>
      <c r="B52" s="1">
        <v>43623</v>
      </c>
      <c r="C52">
        <v>0</v>
      </c>
      <c r="D52">
        <v>6</v>
      </c>
      <c r="E52">
        <v>34</v>
      </c>
      <c r="F52" s="3">
        <f t="shared" si="4"/>
        <v>0.17647058823529413</v>
      </c>
      <c r="G52">
        <v>1</v>
      </c>
      <c r="H52" s="3">
        <f t="shared" si="6"/>
        <v>0.16666666666666666</v>
      </c>
      <c r="I52" s="15">
        <v>0</v>
      </c>
      <c r="J52" s="3">
        <v>0.188</v>
      </c>
    </row>
    <row r="53" spans="1:10" x14ac:dyDescent="0.2">
      <c r="A53">
        <v>2019</v>
      </c>
      <c r="B53" s="1">
        <v>43634</v>
      </c>
      <c r="C53">
        <v>1</v>
      </c>
      <c r="D53">
        <v>15</v>
      </c>
      <c r="E53">
        <v>48</v>
      </c>
      <c r="F53" s="3">
        <f t="shared" si="4"/>
        <v>0.3125</v>
      </c>
      <c r="G53">
        <v>10</v>
      </c>
      <c r="H53" s="3">
        <f t="shared" si="6"/>
        <v>0.66666666666666663</v>
      </c>
      <c r="I53" s="15">
        <v>0</v>
      </c>
      <c r="J53" s="3">
        <v>0.375</v>
      </c>
    </row>
    <row r="54" spans="1:10" x14ac:dyDescent="0.2">
      <c r="A54">
        <v>2019</v>
      </c>
      <c r="B54" s="1">
        <v>43639</v>
      </c>
      <c r="C54">
        <v>0</v>
      </c>
      <c r="D54">
        <v>7</v>
      </c>
      <c r="E54">
        <v>34</v>
      </c>
      <c r="F54" s="3">
        <f t="shared" si="4"/>
        <v>0.20588235294117646</v>
      </c>
      <c r="G54">
        <v>3</v>
      </c>
      <c r="H54" s="3">
        <f t="shared" si="6"/>
        <v>0.42857142857142855</v>
      </c>
      <c r="I54" s="15">
        <v>0</v>
      </c>
      <c r="J54" s="3">
        <v>0.24099999999999999</v>
      </c>
    </row>
    <row r="55" spans="1:10" x14ac:dyDescent="0.2">
      <c r="A55">
        <v>2019</v>
      </c>
      <c r="B55" s="1">
        <v>43644</v>
      </c>
      <c r="C55">
        <v>0</v>
      </c>
      <c r="D55">
        <v>9</v>
      </c>
      <c r="E55">
        <v>36</v>
      </c>
      <c r="F55" s="3">
        <f t="shared" ref="F55:F86" si="7">D55/E55</f>
        <v>0.25</v>
      </c>
      <c r="G55">
        <v>2</v>
      </c>
      <c r="H55" s="3">
        <f t="shared" si="6"/>
        <v>0.22222222222222221</v>
      </c>
      <c r="I55" s="15">
        <v>1</v>
      </c>
      <c r="J55" s="3">
        <v>0.25</v>
      </c>
    </row>
    <row r="56" spans="1:10" x14ac:dyDescent="0.2">
      <c r="A56">
        <v>2019</v>
      </c>
      <c r="B56" s="1">
        <v>43651</v>
      </c>
      <c r="C56">
        <v>0</v>
      </c>
      <c r="D56">
        <v>7</v>
      </c>
      <c r="E56">
        <v>41</v>
      </c>
      <c r="F56" s="3">
        <f t="shared" si="7"/>
        <v>0.17073170731707318</v>
      </c>
      <c r="G56">
        <v>2</v>
      </c>
      <c r="H56" s="3">
        <f t="shared" si="6"/>
        <v>0.2857142857142857</v>
      </c>
      <c r="I56" s="15">
        <v>0</v>
      </c>
      <c r="J56" s="3">
        <v>0.21199999999999999</v>
      </c>
    </row>
    <row r="57" spans="1:10" x14ac:dyDescent="0.2">
      <c r="A57">
        <v>2019</v>
      </c>
      <c r="B57" s="1">
        <v>43660</v>
      </c>
      <c r="C57">
        <v>1</v>
      </c>
      <c r="D57">
        <v>12</v>
      </c>
      <c r="E57">
        <v>43</v>
      </c>
      <c r="F57" s="3">
        <f t="shared" si="7"/>
        <v>0.27906976744186046</v>
      </c>
      <c r="G57">
        <v>6</v>
      </c>
      <c r="H57" s="3">
        <f t="shared" si="6"/>
        <v>0.5</v>
      </c>
      <c r="I57" s="15">
        <v>0</v>
      </c>
      <c r="J57" s="3">
        <v>0.316</v>
      </c>
    </row>
    <row r="58" spans="1:10" x14ac:dyDescent="0.2">
      <c r="A58">
        <v>2019</v>
      </c>
      <c r="B58" s="1">
        <v>43665</v>
      </c>
      <c r="C58">
        <v>0</v>
      </c>
      <c r="D58">
        <v>3</v>
      </c>
      <c r="E58">
        <v>35</v>
      </c>
      <c r="F58" s="3">
        <f t="shared" si="7"/>
        <v>8.5714285714285715E-2</v>
      </c>
      <c r="G58">
        <v>0</v>
      </c>
      <c r="H58" s="3">
        <f t="shared" si="6"/>
        <v>0</v>
      </c>
      <c r="I58" s="15">
        <v>0</v>
      </c>
      <c r="J58" s="3">
        <v>9.0999999999999998E-2</v>
      </c>
    </row>
    <row r="59" spans="1:10" x14ac:dyDescent="0.2">
      <c r="A59">
        <v>2019</v>
      </c>
      <c r="B59" s="1">
        <v>43671</v>
      </c>
      <c r="C59">
        <v>1</v>
      </c>
      <c r="D59">
        <v>12</v>
      </c>
      <c r="E59">
        <v>42</v>
      </c>
      <c r="F59" s="3">
        <f t="shared" si="7"/>
        <v>0.2857142857142857</v>
      </c>
      <c r="G59">
        <v>4</v>
      </c>
      <c r="H59" s="3">
        <f t="shared" si="6"/>
        <v>0.33333333333333331</v>
      </c>
      <c r="I59">
        <v>0</v>
      </c>
      <c r="J59">
        <v>0.35299999999999998</v>
      </c>
    </row>
    <row r="60" spans="1:10" x14ac:dyDescent="0.2">
      <c r="A60">
        <v>2019</v>
      </c>
      <c r="B60" s="1">
        <v>43677</v>
      </c>
      <c r="C60">
        <v>1</v>
      </c>
      <c r="D60">
        <v>6</v>
      </c>
      <c r="E60">
        <v>39</v>
      </c>
      <c r="F60" s="3">
        <f t="shared" si="7"/>
        <v>0.15384615384615385</v>
      </c>
      <c r="G60">
        <v>4</v>
      </c>
      <c r="H60" s="3">
        <f t="shared" si="6"/>
        <v>0.66666666666666663</v>
      </c>
      <c r="I60">
        <v>0</v>
      </c>
      <c r="J60" s="3">
        <v>0.17599999999999999</v>
      </c>
    </row>
    <row r="61" spans="1:10" x14ac:dyDescent="0.2">
      <c r="A61">
        <v>2019</v>
      </c>
      <c r="B61" s="1">
        <v>43682</v>
      </c>
      <c r="C61">
        <v>1</v>
      </c>
      <c r="D61">
        <v>6</v>
      </c>
      <c r="E61">
        <v>35</v>
      </c>
      <c r="F61" s="3">
        <f t="shared" si="7"/>
        <v>0.17142857142857143</v>
      </c>
      <c r="G61">
        <v>6</v>
      </c>
      <c r="H61" s="3">
        <f t="shared" si="6"/>
        <v>1</v>
      </c>
      <c r="I61">
        <v>0</v>
      </c>
      <c r="J61" s="3">
        <v>0.20699999999999999</v>
      </c>
    </row>
    <row r="62" spans="1:10" x14ac:dyDescent="0.2">
      <c r="A62">
        <v>2019</v>
      </c>
      <c r="B62" s="1">
        <v>43688</v>
      </c>
      <c r="C62">
        <v>0</v>
      </c>
      <c r="D62">
        <v>9</v>
      </c>
      <c r="E62">
        <v>41</v>
      </c>
      <c r="F62" s="3">
        <f t="shared" si="7"/>
        <v>0.21951219512195122</v>
      </c>
      <c r="G62">
        <v>4</v>
      </c>
      <c r="H62" s="3">
        <f t="shared" si="6"/>
        <v>0.44444444444444442</v>
      </c>
      <c r="I62">
        <v>0</v>
      </c>
      <c r="J62" s="3">
        <v>0.25700000000000001</v>
      </c>
    </row>
    <row r="63" spans="1:10" x14ac:dyDescent="0.2">
      <c r="A63">
        <v>2019</v>
      </c>
      <c r="B63" s="1">
        <v>43694</v>
      </c>
      <c r="C63">
        <v>1</v>
      </c>
      <c r="D63">
        <v>11</v>
      </c>
      <c r="E63">
        <v>41</v>
      </c>
      <c r="F63" s="3">
        <f t="shared" si="7"/>
        <v>0.26829268292682928</v>
      </c>
      <c r="G63">
        <v>4</v>
      </c>
      <c r="H63" s="3">
        <f t="shared" si="6"/>
        <v>0.36363636363636365</v>
      </c>
      <c r="I63">
        <v>0</v>
      </c>
      <c r="J63" s="3">
        <v>0.30599999999999999</v>
      </c>
    </row>
    <row r="64" spans="1:10" x14ac:dyDescent="0.2">
      <c r="A64">
        <v>2019</v>
      </c>
      <c r="B64" s="1">
        <v>43700</v>
      </c>
      <c r="C64">
        <v>0</v>
      </c>
      <c r="D64">
        <v>6</v>
      </c>
      <c r="E64">
        <v>52</v>
      </c>
      <c r="F64" s="3">
        <f t="shared" si="7"/>
        <v>0.11538461538461539</v>
      </c>
      <c r="G64">
        <v>1</v>
      </c>
      <c r="H64" s="3">
        <f t="shared" si="6"/>
        <v>0.16666666666666666</v>
      </c>
      <c r="I64">
        <v>0</v>
      </c>
      <c r="J64" s="3">
        <v>0.128</v>
      </c>
    </row>
    <row r="65" spans="1:10" x14ac:dyDescent="0.2">
      <c r="A65">
        <v>2019</v>
      </c>
      <c r="B65" s="1">
        <v>43706</v>
      </c>
      <c r="C65">
        <v>0</v>
      </c>
      <c r="D65">
        <v>5</v>
      </c>
      <c r="E65">
        <v>35</v>
      </c>
      <c r="F65" s="3">
        <f t="shared" si="7"/>
        <v>0.14285714285714285</v>
      </c>
      <c r="G65">
        <v>1</v>
      </c>
      <c r="H65" s="3">
        <f t="shared" si="6"/>
        <v>0.2</v>
      </c>
      <c r="I65">
        <v>0</v>
      </c>
      <c r="J65" s="3">
        <v>0.156</v>
      </c>
    </row>
    <row r="66" spans="1:10" x14ac:dyDescent="0.2">
      <c r="A66">
        <v>2019</v>
      </c>
      <c r="B66" s="1">
        <v>43711</v>
      </c>
      <c r="C66">
        <v>0</v>
      </c>
      <c r="D66">
        <v>11</v>
      </c>
      <c r="E66">
        <v>39</v>
      </c>
      <c r="F66" s="3">
        <f t="shared" si="7"/>
        <v>0.28205128205128205</v>
      </c>
      <c r="G66">
        <v>10</v>
      </c>
      <c r="H66" s="3">
        <f t="shared" si="6"/>
        <v>0.90909090909090906</v>
      </c>
      <c r="I66">
        <v>1</v>
      </c>
      <c r="J66" s="3">
        <v>0.314</v>
      </c>
    </row>
    <row r="67" spans="1:10" x14ac:dyDescent="0.2">
      <c r="A67">
        <v>2019</v>
      </c>
      <c r="B67" s="1">
        <v>43717</v>
      </c>
      <c r="C67">
        <v>1</v>
      </c>
      <c r="D67">
        <v>9</v>
      </c>
      <c r="E67">
        <v>32</v>
      </c>
      <c r="F67" s="3">
        <f t="shared" si="7"/>
        <v>0.28125</v>
      </c>
      <c r="G67">
        <v>3</v>
      </c>
      <c r="H67" s="3">
        <f t="shared" si="6"/>
        <v>0.33333333333333331</v>
      </c>
      <c r="I67">
        <v>0</v>
      </c>
      <c r="J67" s="3">
        <v>0.31</v>
      </c>
    </row>
    <row r="68" spans="1:10" x14ac:dyDescent="0.2">
      <c r="A68">
        <v>2019</v>
      </c>
      <c r="B68" s="1">
        <v>43722</v>
      </c>
      <c r="C68">
        <v>1</v>
      </c>
      <c r="D68">
        <v>3</v>
      </c>
      <c r="E68">
        <v>30</v>
      </c>
      <c r="F68" s="3">
        <f t="shared" si="7"/>
        <v>0.1</v>
      </c>
      <c r="G68">
        <v>3</v>
      </c>
      <c r="H68" s="3">
        <f t="shared" si="6"/>
        <v>1</v>
      </c>
      <c r="I68">
        <v>1</v>
      </c>
      <c r="J68" s="3">
        <v>0.111</v>
      </c>
    </row>
    <row r="69" spans="1:10" x14ac:dyDescent="0.2">
      <c r="A69">
        <v>2019</v>
      </c>
      <c r="B69" s="1">
        <v>43728</v>
      </c>
      <c r="C69">
        <v>1</v>
      </c>
      <c r="D69">
        <v>10</v>
      </c>
      <c r="E69">
        <v>43</v>
      </c>
      <c r="F69" s="3">
        <f t="shared" si="7"/>
        <v>0.23255813953488372</v>
      </c>
      <c r="G69">
        <v>8</v>
      </c>
      <c r="H69" s="3">
        <f t="shared" si="6"/>
        <v>0.8</v>
      </c>
      <c r="I69">
        <v>1</v>
      </c>
      <c r="J69" s="3">
        <v>0.27</v>
      </c>
    </row>
    <row r="70" spans="1:10" x14ac:dyDescent="0.2">
      <c r="A70" s="6">
        <v>2019</v>
      </c>
      <c r="B70" s="7">
        <v>43733</v>
      </c>
      <c r="C70" s="6">
        <v>1</v>
      </c>
      <c r="D70" s="6">
        <v>12</v>
      </c>
      <c r="E70" s="6">
        <v>41</v>
      </c>
      <c r="F70" s="8">
        <f t="shared" si="7"/>
        <v>0.29268292682926828</v>
      </c>
      <c r="G70" s="6">
        <v>10</v>
      </c>
      <c r="H70" s="8">
        <f t="shared" si="6"/>
        <v>0.83333333333333337</v>
      </c>
      <c r="I70" s="6">
        <v>0</v>
      </c>
      <c r="J70" s="6">
        <v>0.35299999999999998</v>
      </c>
    </row>
    <row r="71" spans="1:10" x14ac:dyDescent="0.2">
      <c r="A71">
        <v>2018</v>
      </c>
      <c r="B71" s="1">
        <v>43555</v>
      </c>
      <c r="C71">
        <v>1</v>
      </c>
      <c r="D71">
        <v>11</v>
      </c>
      <c r="E71">
        <v>40</v>
      </c>
      <c r="F71" s="3">
        <f t="shared" si="7"/>
        <v>0.27500000000000002</v>
      </c>
      <c r="G71">
        <v>6</v>
      </c>
      <c r="H71" s="3">
        <f t="shared" si="6"/>
        <v>0.54545454545454541</v>
      </c>
      <c r="I71" s="15">
        <v>0</v>
      </c>
      <c r="J71" s="3">
        <v>0.33300000000000002</v>
      </c>
    </row>
    <row r="72" spans="1:10" x14ac:dyDescent="0.2">
      <c r="A72">
        <v>2018</v>
      </c>
      <c r="B72" s="1">
        <v>43195</v>
      </c>
      <c r="C72">
        <v>1</v>
      </c>
      <c r="D72">
        <v>8</v>
      </c>
      <c r="E72">
        <v>39</v>
      </c>
      <c r="F72" s="3">
        <f t="shared" si="7"/>
        <v>0.20512820512820512</v>
      </c>
      <c r="G72">
        <v>8</v>
      </c>
      <c r="H72" s="3">
        <f t="shared" si="6"/>
        <v>1</v>
      </c>
      <c r="I72" s="15">
        <v>0</v>
      </c>
      <c r="J72" s="3">
        <v>0.23499999999999999</v>
      </c>
    </row>
    <row r="73" spans="1:10" x14ac:dyDescent="0.2">
      <c r="A73">
        <v>2018</v>
      </c>
      <c r="B73" s="1">
        <v>43200</v>
      </c>
      <c r="C73">
        <v>1</v>
      </c>
      <c r="D73">
        <v>9</v>
      </c>
      <c r="E73">
        <v>40</v>
      </c>
      <c r="F73" s="3">
        <f t="shared" si="7"/>
        <v>0.22500000000000001</v>
      </c>
      <c r="G73">
        <v>8</v>
      </c>
      <c r="H73" s="3">
        <f t="shared" si="6"/>
        <v>0.88888888888888884</v>
      </c>
      <c r="I73" s="15">
        <v>0</v>
      </c>
      <c r="J73" s="3">
        <v>0.25</v>
      </c>
    </row>
    <row r="74" spans="1:10" x14ac:dyDescent="0.2">
      <c r="A74">
        <v>2018</v>
      </c>
      <c r="B74" s="1">
        <v>43206</v>
      </c>
      <c r="C74">
        <v>0</v>
      </c>
      <c r="D74">
        <v>10</v>
      </c>
      <c r="E74">
        <v>39</v>
      </c>
      <c r="F74" s="3">
        <f t="shared" si="7"/>
        <v>0.25641025641025639</v>
      </c>
      <c r="G74">
        <v>6</v>
      </c>
      <c r="H74" s="3">
        <f t="shared" si="6"/>
        <v>0.6</v>
      </c>
      <c r="I74" s="15">
        <v>0</v>
      </c>
      <c r="J74" s="3">
        <v>0.29399999999999998</v>
      </c>
    </row>
    <row r="75" spans="1:10" x14ac:dyDescent="0.2">
      <c r="A75">
        <v>2018</v>
      </c>
      <c r="B75" s="1">
        <v>43211</v>
      </c>
      <c r="C75">
        <v>0</v>
      </c>
      <c r="D75">
        <v>7</v>
      </c>
      <c r="E75">
        <v>38</v>
      </c>
      <c r="F75" s="3">
        <f t="shared" si="7"/>
        <v>0.18421052631578946</v>
      </c>
      <c r="G75">
        <v>3</v>
      </c>
      <c r="H75" s="3">
        <f t="shared" si="6"/>
        <v>0.42857142857142855</v>
      </c>
      <c r="I75" s="15">
        <v>0</v>
      </c>
      <c r="J75" s="3">
        <v>0.20599999999999999</v>
      </c>
    </row>
    <row r="76" spans="1:10" x14ac:dyDescent="0.2">
      <c r="A76">
        <v>2018</v>
      </c>
      <c r="B76" s="1">
        <v>43217</v>
      </c>
      <c r="C76">
        <v>1</v>
      </c>
      <c r="D76">
        <v>9</v>
      </c>
      <c r="E76">
        <v>39</v>
      </c>
      <c r="F76" s="3">
        <f t="shared" si="7"/>
        <v>0.23076923076923078</v>
      </c>
      <c r="G76">
        <v>5</v>
      </c>
      <c r="H76" s="3">
        <f t="shared" si="6"/>
        <v>0.55555555555555558</v>
      </c>
      <c r="I76" s="15">
        <v>0</v>
      </c>
      <c r="J76" s="3">
        <v>0.27300000000000002</v>
      </c>
    </row>
    <row r="77" spans="1:10" x14ac:dyDescent="0.2">
      <c r="A77">
        <v>2018</v>
      </c>
      <c r="B77" s="1">
        <v>43222</v>
      </c>
      <c r="C77">
        <v>0</v>
      </c>
      <c r="D77">
        <v>3</v>
      </c>
      <c r="E77">
        <v>31</v>
      </c>
      <c r="F77" s="3">
        <f t="shared" si="7"/>
        <v>9.6774193548387094E-2</v>
      </c>
      <c r="G77">
        <v>0</v>
      </c>
      <c r="H77" s="3">
        <f t="shared" si="6"/>
        <v>0</v>
      </c>
      <c r="I77" s="15">
        <v>0</v>
      </c>
      <c r="J77" s="3">
        <v>0.1</v>
      </c>
    </row>
    <row r="78" spans="1:10" x14ac:dyDescent="0.2">
      <c r="A78">
        <v>2018</v>
      </c>
      <c r="B78" s="1">
        <v>43233</v>
      </c>
      <c r="C78">
        <v>0</v>
      </c>
      <c r="D78">
        <v>11</v>
      </c>
      <c r="E78">
        <v>38</v>
      </c>
      <c r="F78" s="3">
        <f t="shared" si="7"/>
        <v>0.28947368421052633</v>
      </c>
      <c r="G78">
        <v>2</v>
      </c>
      <c r="H78" s="3">
        <f t="shared" si="6"/>
        <v>0.18181818181818182</v>
      </c>
      <c r="I78" s="15">
        <v>1</v>
      </c>
      <c r="J78" s="3">
        <v>0.32400000000000001</v>
      </c>
    </row>
    <row r="79" spans="1:10" x14ac:dyDescent="0.2">
      <c r="A79">
        <v>2018</v>
      </c>
      <c r="B79" s="1">
        <v>43238</v>
      </c>
      <c r="C79">
        <v>1</v>
      </c>
      <c r="D79">
        <v>6</v>
      </c>
      <c r="E79">
        <v>36</v>
      </c>
      <c r="F79" s="3">
        <f t="shared" si="7"/>
        <v>0.16666666666666666</v>
      </c>
      <c r="G79">
        <v>3</v>
      </c>
      <c r="H79" s="3">
        <f t="shared" si="6"/>
        <v>0.5</v>
      </c>
      <c r="I79" s="15">
        <v>0</v>
      </c>
      <c r="J79" s="3">
        <v>0.19400000000000001</v>
      </c>
    </row>
    <row r="80" spans="1:10" x14ac:dyDescent="0.2">
      <c r="A80">
        <v>2018</v>
      </c>
      <c r="B80" s="1">
        <v>43243</v>
      </c>
      <c r="C80">
        <v>0</v>
      </c>
      <c r="D80">
        <v>6</v>
      </c>
      <c r="E80">
        <v>35</v>
      </c>
      <c r="F80" s="3">
        <f t="shared" si="7"/>
        <v>0.17142857142857143</v>
      </c>
      <c r="G80">
        <v>1</v>
      </c>
      <c r="H80" s="3">
        <f t="shared" si="6"/>
        <v>0.16666666666666666</v>
      </c>
      <c r="I80" s="15">
        <v>0</v>
      </c>
      <c r="J80" s="3">
        <v>0.188</v>
      </c>
    </row>
    <row r="81" spans="1:10" x14ac:dyDescent="0.2">
      <c r="A81">
        <v>2018</v>
      </c>
      <c r="B81" s="1">
        <v>43248</v>
      </c>
      <c r="C81">
        <v>0</v>
      </c>
      <c r="D81">
        <v>7</v>
      </c>
      <c r="E81">
        <v>37</v>
      </c>
      <c r="F81" s="3">
        <f t="shared" si="7"/>
        <v>0.1891891891891892</v>
      </c>
      <c r="G81">
        <v>3</v>
      </c>
      <c r="H81" s="3">
        <f t="shared" si="6"/>
        <v>0.42857142857142855</v>
      </c>
      <c r="I81" s="15">
        <v>0</v>
      </c>
      <c r="J81" s="3">
        <v>0.22600000000000001</v>
      </c>
    </row>
    <row r="82" spans="1:10" x14ac:dyDescent="0.2">
      <c r="A82">
        <v>2018</v>
      </c>
      <c r="B82" s="1">
        <v>43253</v>
      </c>
      <c r="C82">
        <v>0</v>
      </c>
      <c r="D82">
        <v>7</v>
      </c>
      <c r="E82">
        <v>54</v>
      </c>
      <c r="F82" s="3">
        <f t="shared" si="7"/>
        <v>0.12962962962962962</v>
      </c>
      <c r="G82">
        <v>1</v>
      </c>
      <c r="H82" s="3">
        <f t="shared" si="6"/>
        <v>0.14285714285714285</v>
      </c>
      <c r="I82" s="15">
        <v>0</v>
      </c>
      <c r="J82" s="3">
        <v>0.14000000000000001</v>
      </c>
    </row>
    <row r="83" spans="1:10" x14ac:dyDescent="0.2">
      <c r="A83">
        <v>2018</v>
      </c>
      <c r="B83" s="1">
        <v>43259</v>
      </c>
      <c r="C83">
        <v>0</v>
      </c>
      <c r="D83">
        <v>4</v>
      </c>
      <c r="E83">
        <v>32</v>
      </c>
      <c r="F83" s="3">
        <f t="shared" si="7"/>
        <v>0.125</v>
      </c>
      <c r="G83">
        <v>1</v>
      </c>
      <c r="H83" s="3">
        <f t="shared" si="6"/>
        <v>0.25</v>
      </c>
      <c r="I83" s="15">
        <v>0</v>
      </c>
      <c r="J83" s="3">
        <v>0.13300000000000001</v>
      </c>
    </row>
    <row r="84" spans="1:10" x14ac:dyDescent="0.2">
      <c r="A84">
        <v>2018</v>
      </c>
      <c r="B84" s="1">
        <v>43264</v>
      </c>
      <c r="C84">
        <v>0</v>
      </c>
      <c r="D84">
        <v>2</v>
      </c>
      <c r="E84">
        <v>31</v>
      </c>
      <c r="F84" s="3">
        <f t="shared" si="7"/>
        <v>6.4516129032258063E-2</v>
      </c>
      <c r="G84">
        <v>0</v>
      </c>
      <c r="H84" s="3">
        <f t="shared" si="6"/>
        <v>0</v>
      </c>
      <c r="I84" s="15">
        <v>0</v>
      </c>
      <c r="J84" s="3">
        <v>7.0999999999999994E-2</v>
      </c>
    </row>
    <row r="85" spans="1:10" x14ac:dyDescent="0.2">
      <c r="A85">
        <v>2018</v>
      </c>
      <c r="B85" s="1">
        <v>43269</v>
      </c>
      <c r="C85">
        <v>1</v>
      </c>
      <c r="D85">
        <v>15</v>
      </c>
      <c r="E85">
        <v>47</v>
      </c>
      <c r="F85" s="3">
        <f t="shared" si="7"/>
        <v>0.31914893617021278</v>
      </c>
      <c r="G85">
        <v>12</v>
      </c>
      <c r="H85" s="3">
        <f t="shared" si="6"/>
        <v>0.8</v>
      </c>
      <c r="I85" s="15">
        <v>0</v>
      </c>
      <c r="J85" s="3">
        <v>0.36599999999999999</v>
      </c>
    </row>
    <row r="86" spans="1:10" x14ac:dyDescent="0.2">
      <c r="A86">
        <v>2018</v>
      </c>
      <c r="B86" s="1">
        <v>43274</v>
      </c>
      <c r="C86">
        <v>0</v>
      </c>
      <c r="D86">
        <v>10</v>
      </c>
      <c r="E86">
        <v>38</v>
      </c>
      <c r="F86" s="3">
        <f t="shared" si="7"/>
        <v>0.26315789473684209</v>
      </c>
      <c r="G86">
        <v>3</v>
      </c>
      <c r="H86" s="3">
        <f t="shared" si="6"/>
        <v>0.3</v>
      </c>
      <c r="I86" s="15">
        <v>0</v>
      </c>
      <c r="J86" s="3">
        <v>0.27800000000000002</v>
      </c>
    </row>
    <row r="87" spans="1:10" x14ac:dyDescent="0.2">
      <c r="A87">
        <v>2018</v>
      </c>
      <c r="B87" s="1">
        <v>43281</v>
      </c>
      <c r="C87">
        <v>0</v>
      </c>
      <c r="D87">
        <v>6</v>
      </c>
      <c r="E87">
        <v>34</v>
      </c>
      <c r="F87" s="3">
        <f t="shared" ref="F87:F118" si="8">D87/E87</f>
        <v>0.17647058823529413</v>
      </c>
      <c r="G87">
        <v>2</v>
      </c>
      <c r="H87" s="3">
        <f t="shared" si="6"/>
        <v>0.33333333333333331</v>
      </c>
      <c r="I87" s="15">
        <v>0</v>
      </c>
      <c r="J87" s="3">
        <v>0.188</v>
      </c>
    </row>
    <row r="88" spans="1:10" x14ac:dyDescent="0.2">
      <c r="A88">
        <v>2018</v>
      </c>
      <c r="B88" s="1">
        <v>43287</v>
      </c>
      <c r="C88">
        <v>1</v>
      </c>
      <c r="D88">
        <v>6</v>
      </c>
      <c r="E88">
        <v>38</v>
      </c>
      <c r="F88" s="3">
        <f t="shared" si="8"/>
        <v>0.15789473684210525</v>
      </c>
      <c r="G88">
        <v>5</v>
      </c>
      <c r="H88" s="3">
        <f t="shared" si="6"/>
        <v>0.83333333333333337</v>
      </c>
      <c r="I88" s="15">
        <v>0</v>
      </c>
      <c r="J88" s="3">
        <v>0.188</v>
      </c>
    </row>
    <row r="89" spans="1:10" x14ac:dyDescent="0.2">
      <c r="A89">
        <v>2018</v>
      </c>
      <c r="B89" s="1">
        <v>43292</v>
      </c>
      <c r="C89">
        <v>1</v>
      </c>
      <c r="D89">
        <v>4</v>
      </c>
      <c r="E89">
        <v>36</v>
      </c>
      <c r="F89" s="3">
        <f t="shared" si="8"/>
        <v>0.1111111111111111</v>
      </c>
      <c r="G89">
        <v>3</v>
      </c>
      <c r="H89" s="3">
        <f t="shared" si="6"/>
        <v>0.75</v>
      </c>
      <c r="I89" s="15">
        <v>0</v>
      </c>
      <c r="J89" s="3">
        <v>0.125</v>
      </c>
    </row>
    <row r="90" spans="1:10" x14ac:dyDescent="0.2">
      <c r="A90">
        <v>2018</v>
      </c>
      <c r="B90" s="1">
        <v>43304</v>
      </c>
      <c r="C90">
        <v>0</v>
      </c>
      <c r="D90">
        <v>7</v>
      </c>
      <c r="E90">
        <v>38</v>
      </c>
      <c r="F90" s="3">
        <f t="shared" si="8"/>
        <v>0.18421052631578946</v>
      </c>
      <c r="G90">
        <v>2</v>
      </c>
      <c r="H90" s="3">
        <f t="shared" si="6"/>
        <v>0.2857142857142857</v>
      </c>
      <c r="I90" s="15">
        <v>0</v>
      </c>
      <c r="J90" s="3">
        <v>0.2</v>
      </c>
    </row>
    <row r="91" spans="1:10" x14ac:dyDescent="0.2">
      <c r="A91">
        <v>2018</v>
      </c>
      <c r="B91" s="1">
        <v>43309</v>
      </c>
      <c r="C91">
        <v>0</v>
      </c>
      <c r="D91">
        <v>6</v>
      </c>
      <c r="E91">
        <v>35</v>
      </c>
      <c r="F91" s="3">
        <f t="shared" si="8"/>
        <v>0.17142857142857143</v>
      </c>
      <c r="G91">
        <v>0</v>
      </c>
      <c r="H91" s="3">
        <f t="shared" si="6"/>
        <v>0</v>
      </c>
      <c r="I91" s="15">
        <v>1</v>
      </c>
      <c r="J91" s="3">
        <v>0.188</v>
      </c>
    </row>
    <row r="92" spans="1:10" x14ac:dyDescent="0.2">
      <c r="A92">
        <v>2018</v>
      </c>
      <c r="B92" s="1">
        <v>43315</v>
      </c>
      <c r="C92">
        <v>0</v>
      </c>
      <c r="D92">
        <v>2</v>
      </c>
      <c r="E92">
        <v>32</v>
      </c>
      <c r="F92" s="3">
        <f t="shared" si="8"/>
        <v>6.25E-2</v>
      </c>
      <c r="G92">
        <v>1</v>
      </c>
      <c r="H92" s="3">
        <f t="shared" si="6"/>
        <v>0.5</v>
      </c>
      <c r="I92" s="15">
        <v>0</v>
      </c>
      <c r="J92" s="3">
        <v>6.9000000000000006E-2</v>
      </c>
    </row>
    <row r="93" spans="1:10" x14ac:dyDescent="0.2">
      <c r="A93">
        <v>2018</v>
      </c>
      <c r="B93" s="1">
        <v>43320</v>
      </c>
      <c r="C93">
        <v>1</v>
      </c>
      <c r="D93">
        <v>8</v>
      </c>
      <c r="E93">
        <v>44</v>
      </c>
      <c r="F93" s="3">
        <f t="shared" si="8"/>
        <v>0.18181818181818182</v>
      </c>
      <c r="G93">
        <v>8</v>
      </c>
      <c r="H93" s="3">
        <f t="shared" si="6"/>
        <v>1</v>
      </c>
      <c r="I93" s="15">
        <v>0</v>
      </c>
      <c r="J93" s="3">
        <v>0.25</v>
      </c>
    </row>
    <row r="94" spans="1:10" x14ac:dyDescent="0.2">
      <c r="A94">
        <v>2018</v>
      </c>
      <c r="B94" s="1">
        <v>43325</v>
      </c>
      <c r="C94">
        <v>1</v>
      </c>
      <c r="D94">
        <v>15</v>
      </c>
      <c r="E94">
        <v>44</v>
      </c>
      <c r="F94" s="3">
        <f t="shared" si="8"/>
        <v>0.34090909090909088</v>
      </c>
      <c r="G94">
        <v>8</v>
      </c>
      <c r="H94" s="3">
        <f t="shared" si="6"/>
        <v>0.53333333333333333</v>
      </c>
      <c r="I94" s="15">
        <v>1</v>
      </c>
      <c r="J94" s="3">
        <v>0.36599999999999999</v>
      </c>
    </row>
    <row r="95" spans="1:10" x14ac:dyDescent="0.2">
      <c r="A95">
        <v>2018</v>
      </c>
      <c r="B95" s="1">
        <v>43330</v>
      </c>
      <c r="C95">
        <v>1</v>
      </c>
      <c r="D95">
        <v>7</v>
      </c>
      <c r="E95">
        <v>36</v>
      </c>
      <c r="F95" s="3">
        <f t="shared" si="8"/>
        <v>0.19444444444444445</v>
      </c>
      <c r="G95">
        <v>1</v>
      </c>
      <c r="H95" s="3">
        <f t="shared" si="6"/>
        <v>0.14285714285714285</v>
      </c>
      <c r="I95" s="15">
        <v>0</v>
      </c>
      <c r="J95" s="3">
        <v>0.2</v>
      </c>
    </row>
    <row r="96" spans="1:10" x14ac:dyDescent="0.2">
      <c r="A96">
        <v>2018</v>
      </c>
      <c r="B96" s="1">
        <v>43335</v>
      </c>
      <c r="C96">
        <v>0</v>
      </c>
      <c r="D96">
        <v>5</v>
      </c>
      <c r="E96">
        <v>33</v>
      </c>
      <c r="F96" s="3">
        <f t="shared" si="8"/>
        <v>0.15151515151515152</v>
      </c>
      <c r="G96">
        <v>1</v>
      </c>
      <c r="H96" s="3">
        <f t="shared" si="6"/>
        <v>0.2</v>
      </c>
      <c r="I96" s="15">
        <v>0</v>
      </c>
      <c r="J96" s="3">
        <v>0.161</v>
      </c>
    </row>
    <row r="97" spans="1:10" x14ac:dyDescent="0.2">
      <c r="A97">
        <v>2018</v>
      </c>
      <c r="B97" s="1">
        <v>43346</v>
      </c>
      <c r="C97">
        <v>1</v>
      </c>
      <c r="D97">
        <v>11</v>
      </c>
      <c r="E97">
        <v>39</v>
      </c>
      <c r="F97" s="3">
        <f t="shared" si="8"/>
        <v>0.28205128205128205</v>
      </c>
      <c r="G97">
        <v>4</v>
      </c>
      <c r="H97" s="3">
        <f t="shared" si="6"/>
        <v>0.36363636363636365</v>
      </c>
      <c r="I97" s="15">
        <v>0</v>
      </c>
      <c r="J97" s="3">
        <v>0.32400000000000001</v>
      </c>
    </row>
    <row r="98" spans="1:10" x14ac:dyDescent="0.2">
      <c r="A98">
        <v>2018</v>
      </c>
      <c r="B98" s="1">
        <v>43354</v>
      </c>
      <c r="C98">
        <v>0</v>
      </c>
      <c r="D98">
        <v>5</v>
      </c>
      <c r="E98">
        <v>37</v>
      </c>
      <c r="F98" s="3">
        <f t="shared" si="8"/>
        <v>0.13513513513513514</v>
      </c>
      <c r="G98">
        <v>3</v>
      </c>
      <c r="H98" s="3">
        <f t="shared" si="6"/>
        <v>0.6</v>
      </c>
      <c r="I98" s="15">
        <v>0</v>
      </c>
      <c r="J98" s="3">
        <v>0.156</v>
      </c>
    </row>
    <row r="99" spans="1:10" x14ac:dyDescent="0.2">
      <c r="A99">
        <v>2018</v>
      </c>
      <c r="B99" s="1">
        <v>43359</v>
      </c>
      <c r="C99">
        <v>0</v>
      </c>
      <c r="D99">
        <v>6</v>
      </c>
      <c r="E99">
        <v>36</v>
      </c>
      <c r="F99" s="3">
        <f t="shared" si="8"/>
        <v>0.16666666666666666</v>
      </c>
      <c r="G99">
        <v>3</v>
      </c>
      <c r="H99" s="3">
        <f t="shared" si="6"/>
        <v>0.5</v>
      </c>
      <c r="I99" s="15">
        <v>0</v>
      </c>
      <c r="J99" s="3">
        <v>0.2</v>
      </c>
    </row>
    <row r="100" spans="1:10" x14ac:dyDescent="0.2">
      <c r="A100">
        <v>2018</v>
      </c>
      <c r="B100" s="1">
        <v>43364</v>
      </c>
      <c r="C100">
        <v>1</v>
      </c>
      <c r="D100">
        <v>8</v>
      </c>
      <c r="E100">
        <v>40</v>
      </c>
      <c r="F100" s="3">
        <f t="shared" si="8"/>
        <v>0.2</v>
      </c>
      <c r="G100">
        <v>4</v>
      </c>
      <c r="H100" s="3">
        <f t="shared" si="6"/>
        <v>0.5</v>
      </c>
      <c r="I100" s="15">
        <v>0</v>
      </c>
      <c r="J100" s="3">
        <v>0.22900000000000001</v>
      </c>
    </row>
    <row r="101" spans="1:10" x14ac:dyDescent="0.2">
      <c r="A101" s="6">
        <v>2018</v>
      </c>
      <c r="B101" s="7">
        <v>43369</v>
      </c>
      <c r="C101" s="6">
        <v>1</v>
      </c>
      <c r="D101" s="6">
        <v>6</v>
      </c>
      <c r="E101" s="6">
        <v>34</v>
      </c>
      <c r="F101" s="8">
        <f t="shared" si="8"/>
        <v>0.17647058823529413</v>
      </c>
      <c r="G101" s="6">
        <v>3</v>
      </c>
      <c r="H101" s="8">
        <f t="shared" si="6"/>
        <v>0.5</v>
      </c>
      <c r="I101" s="6">
        <v>0</v>
      </c>
      <c r="J101" s="8">
        <v>0.2</v>
      </c>
    </row>
    <row r="102" spans="1:10" x14ac:dyDescent="0.2">
      <c r="A102">
        <v>2017</v>
      </c>
      <c r="B102" s="1">
        <v>42830</v>
      </c>
      <c r="C102">
        <v>0</v>
      </c>
      <c r="D102">
        <v>5</v>
      </c>
      <c r="E102">
        <v>43</v>
      </c>
      <c r="F102" s="3">
        <f t="shared" si="8"/>
        <v>0.11627906976744186</v>
      </c>
      <c r="G102">
        <v>1</v>
      </c>
      <c r="H102" s="3">
        <f t="shared" si="6"/>
        <v>0.2</v>
      </c>
      <c r="I102" s="15">
        <v>0</v>
      </c>
      <c r="J102" s="3">
        <v>0.125</v>
      </c>
    </row>
    <row r="103" spans="1:10" x14ac:dyDescent="0.2">
      <c r="A103">
        <v>2017</v>
      </c>
      <c r="B103" s="1">
        <v>42835</v>
      </c>
      <c r="C103">
        <v>1</v>
      </c>
      <c r="D103">
        <v>4</v>
      </c>
      <c r="E103">
        <v>35</v>
      </c>
      <c r="F103" s="3">
        <f t="shared" si="8"/>
        <v>0.11428571428571428</v>
      </c>
      <c r="G103">
        <v>4</v>
      </c>
      <c r="H103" s="3">
        <f t="shared" si="6"/>
        <v>1</v>
      </c>
      <c r="I103" s="15">
        <v>0</v>
      </c>
      <c r="J103" s="3">
        <v>0.13800000000000001</v>
      </c>
    </row>
    <row r="104" spans="1:10" x14ac:dyDescent="0.2">
      <c r="A104">
        <v>2017</v>
      </c>
      <c r="B104" s="1">
        <v>42840</v>
      </c>
      <c r="C104">
        <v>0</v>
      </c>
      <c r="D104">
        <v>5</v>
      </c>
      <c r="E104">
        <v>34</v>
      </c>
      <c r="F104" s="3">
        <f t="shared" si="8"/>
        <v>0.14705882352941177</v>
      </c>
      <c r="G104">
        <v>4</v>
      </c>
      <c r="H104" s="3">
        <f t="shared" si="6"/>
        <v>0.8</v>
      </c>
      <c r="I104" s="15">
        <v>0</v>
      </c>
      <c r="J104" s="3">
        <v>0.16700000000000001</v>
      </c>
    </row>
    <row r="105" spans="1:10" x14ac:dyDescent="0.2">
      <c r="A105">
        <v>2017</v>
      </c>
      <c r="B105" s="1">
        <v>42847</v>
      </c>
      <c r="C105">
        <v>0</v>
      </c>
      <c r="D105">
        <v>2</v>
      </c>
      <c r="E105">
        <v>32</v>
      </c>
      <c r="F105" s="3">
        <f t="shared" si="8"/>
        <v>6.25E-2</v>
      </c>
      <c r="G105">
        <v>1</v>
      </c>
      <c r="H105" s="3">
        <f t="shared" si="6"/>
        <v>0.5</v>
      </c>
      <c r="I105" s="15">
        <v>1</v>
      </c>
      <c r="J105" s="3">
        <v>6.9000000000000006E-2</v>
      </c>
    </row>
    <row r="106" spans="1:10" x14ac:dyDescent="0.2">
      <c r="A106">
        <v>2017</v>
      </c>
      <c r="B106" s="1">
        <v>42853</v>
      </c>
      <c r="C106">
        <v>1</v>
      </c>
      <c r="D106">
        <v>12</v>
      </c>
      <c r="E106">
        <v>43</v>
      </c>
      <c r="F106" s="3">
        <f t="shared" si="8"/>
        <v>0.27906976744186046</v>
      </c>
      <c r="G106">
        <v>7</v>
      </c>
      <c r="H106" s="3">
        <f t="shared" si="6"/>
        <v>0.58333333333333337</v>
      </c>
      <c r="I106" s="15">
        <v>1</v>
      </c>
      <c r="J106" s="3">
        <v>0.316</v>
      </c>
    </row>
    <row r="107" spans="1:10" x14ac:dyDescent="0.2">
      <c r="A107">
        <v>2017</v>
      </c>
      <c r="B107" s="1">
        <v>42858</v>
      </c>
      <c r="C107">
        <v>1</v>
      </c>
      <c r="D107">
        <v>20</v>
      </c>
      <c r="E107">
        <v>52</v>
      </c>
      <c r="F107" s="3">
        <f t="shared" si="8"/>
        <v>0.38461538461538464</v>
      </c>
      <c r="G107">
        <v>16</v>
      </c>
      <c r="H107" s="3">
        <f t="shared" si="6"/>
        <v>0.8</v>
      </c>
      <c r="I107" s="15">
        <v>0</v>
      </c>
      <c r="J107" s="3">
        <v>0.44400000000000001</v>
      </c>
    </row>
    <row r="108" spans="1:10" x14ac:dyDescent="0.2">
      <c r="A108">
        <v>2017</v>
      </c>
      <c r="B108" s="1">
        <v>42863</v>
      </c>
      <c r="C108">
        <v>1</v>
      </c>
      <c r="D108">
        <v>11</v>
      </c>
      <c r="E108">
        <v>41</v>
      </c>
      <c r="F108" s="3">
        <f t="shared" si="8"/>
        <v>0.26829268292682928</v>
      </c>
      <c r="G108">
        <v>4</v>
      </c>
      <c r="H108" s="3">
        <f t="shared" si="6"/>
        <v>0.36363636363636365</v>
      </c>
      <c r="I108" s="15">
        <v>0</v>
      </c>
      <c r="J108" s="3">
        <v>0.314</v>
      </c>
    </row>
    <row r="109" spans="1:10" x14ac:dyDescent="0.2">
      <c r="A109">
        <v>2017</v>
      </c>
      <c r="B109" s="1">
        <v>42869</v>
      </c>
      <c r="C109">
        <v>0</v>
      </c>
      <c r="D109">
        <v>15</v>
      </c>
      <c r="E109">
        <v>42</v>
      </c>
      <c r="F109" s="3">
        <f t="shared" si="8"/>
        <v>0.35714285714285715</v>
      </c>
      <c r="G109">
        <v>9</v>
      </c>
      <c r="H109" s="3">
        <f t="shared" si="6"/>
        <v>0.6</v>
      </c>
      <c r="I109" s="15">
        <v>0</v>
      </c>
      <c r="J109" s="3">
        <v>0.375</v>
      </c>
    </row>
    <row r="110" spans="1:10" x14ac:dyDescent="0.2">
      <c r="A110">
        <v>2017</v>
      </c>
      <c r="B110" s="1">
        <v>42874</v>
      </c>
      <c r="C110">
        <v>1</v>
      </c>
      <c r="D110">
        <v>6</v>
      </c>
      <c r="E110">
        <v>35</v>
      </c>
      <c r="F110" s="3">
        <f t="shared" si="8"/>
        <v>0.17142857142857143</v>
      </c>
      <c r="G110">
        <v>3</v>
      </c>
      <c r="H110" s="3">
        <f t="shared" si="6"/>
        <v>0.5</v>
      </c>
      <c r="I110" s="15">
        <v>0</v>
      </c>
      <c r="J110" s="3">
        <v>0.2</v>
      </c>
    </row>
    <row r="111" spans="1:10" x14ac:dyDescent="0.2">
      <c r="A111">
        <v>2017</v>
      </c>
      <c r="B111" s="1">
        <v>42881</v>
      </c>
      <c r="C111">
        <v>1</v>
      </c>
      <c r="D111">
        <v>12</v>
      </c>
      <c r="E111">
        <v>44</v>
      </c>
      <c r="F111" s="3">
        <f t="shared" si="8"/>
        <v>0.27272727272727271</v>
      </c>
      <c r="G111">
        <v>8</v>
      </c>
      <c r="H111" s="3">
        <f t="shared" si="6"/>
        <v>0.66666666666666663</v>
      </c>
      <c r="I111" s="15">
        <v>0</v>
      </c>
      <c r="J111" s="3">
        <v>0.308</v>
      </c>
    </row>
    <row r="112" spans="1:10" x14ac:dyDescent="0.2">
      <c r="A112">
        <v>2017</v>
      </c>
      <c r="B112" s="1">
        <v>42886</v>
      </c>
      <c r="C112">
        <v>0</v>
      </c>
      <c r="D112">
        <v>7</v>
      </c>
      <c r="E112">
        <v>38</v>
      </c>
      <c r="F112" s="3">
        <f t="shared" si="8"/>
        <v>0.18421052631578946</v>
      </c>
      <c r="G112">
        <v>1</v>
      </c>
      <c r="H112" s="3">
        <f t="shared" si="6"/>
        <v>0.14285714285714285</v>
      </c>
      <c r="I112" s="15">
        <v>0</v>
      </c>
      <c r="J112" s="3">
        <v>0.21199999999999999</v>
      </c>
    </row>
    <row r="113" spans="1:10" x14ac:dyDescent="0.2">
      <c r="A113">
        <v>2017</v>
      </c>
      <c r="B113" s="1">
        <v>42892</v>
      </c>
      <c r="C113">
        <v>0</v>
      </c>
      <c r="D113">
        <v>17</v>
      </c>
      <c r="E113">
        <v>48</v>
      </c>
      <c r="F113" s="3">
        <f t="shared" si="8"/>
        <v>0.35416666666666669</v>
      </c>
      <c r="G113">
        <v>8</v>
      </c>
      <c r="H113" s="3">
        <f t="shared" si="6"/>
        <v>0.47058823529411764</v>
      </c>
      <c r="I113" s="15">
        <v>0</v>
      </c>
      <c r="J113" s="3">
        <v>0.40500000000000003</v>
      </c>
    </row>
    <row r="114" spans="1:10" x14ac:dyDescent="0.2">
      <c r="A114">
        <v>2017</v>
      </c>
      <c r="B114" s="1">
        <v>42898</v>
      </c>
      <c r="C114">
        <v>1</v>
      </c>
      <c r="D114">
        <v>11</v>
      </c>
      <c r="E114">
        <v>36</v>
      </c>
      <c r="F114" s="3">
        <f t="shared" si="8"/>
        <v>0.30555555555555558</v>
      </c>
      <c r="G114">
        <v>6</v>
      </c>
      <c r="H114" s="3">
        <f t="shared" si="6"/>
        <v>0.54545454545454541</v>
      </c>
      <c r="I114" s="15">
        <v>0</v>
      </c>
      <c r="J114" s="3">
        <v>0.33300000000000002</v>
      </c>
    </row>
    <row r="115" spans="1:10" x14ac:dyDescent="0.2">
      <c r="A115">
        <v>2017</v>
      </c>
      <c r="B115" s="1">
        <v>42904</v>
      </c>
      <c r="C115">
        <v>1</v>
      </c>
      <c r="D115">
        <v>11</v>
      </c>
      <c r="E115">
        <v>39</v>
      </c>
      <c r="F115" s="3">
        <f t="shared" si="8"/>
        <v>0.28205128205128205</v>
      </c>
      <c r="G115">
        <v>5</v>
      </c>
      <c r="H115" s="3">
        <f t="shared" si="6"/>
        <v>0.45454545454545453</v>
      </c>
      <c r="I115" s="15">
        <v>0</v>
      </c>
      <c r="J115" s="3">
        <v>0.32400000000000001</v>
      </c>
    </row>
    <row r="116" spans="1:10" x14ac:dyDescent="0.2">
      <c r="A116">
        <v>2017</v>
      </c>
      <c r="B116" s="1">
        <v>42910</v>
      </c>
      <c r="C116">
        <v>1</v>
      </c>
      <c r="D116">
        <v>10</v>
      </c>
      <c r="E116">
        <v>39</v>
      </c>
      <c r="F116" s="3">
        <f t="shared" si="8"/>
        <v>0.25641025641025639</v>
      </c>
      <c r="G116">
        <v>5</v>
      </c>
      <c r="H116" s="3">
        <f t="shared" si="6"/>
        <v>0.5</v>
      </c>
      <c r="I116" s="15">
        <v>0</v>
      </c>
      <c r="J116" s="3">
        <v>0.29399999999999998</v>
      </c>
    </row>
    <row r="117" spans="1:10" x14ac:dyDescent="0.2">
      <c r="A117">
        <v>2017</v>
      </c>
      <c r="B117" s="1">
        <v>42916</v>
      </c>
      <c r="C117">
        <v>1</v>
      </c>
      <c r="D117">
        <v>6</v>
      </c>
      <c r="E117">
        <v>32</v>
      </c>
      <c r="F117" s="3">
        <f t="shared" si="8"/>
        <v>0.1875</v>
      </c>
      <c r="G117">
        <v>2</v>
      </c>
      <c r="H117" s="3">
        <f t="shared" si="6"/>
        <v>0.33333333333333331</v>
      </c>
      <c r="I117" s="15">
        <v>0</v>
      </c>
      <c r="J117" s="3">
        <v>0.214</v>
      </c>
    </row>
    <row r="118" spans="1:10" x14ac:dyDescent="0.2">
      <c r="A118">
        <v>2017</v>
      </c>
      <c r="B118" s="1">
        <v>42923</v>
      </c>
      <c r="C118">
        <v>1</v>
      </c>
      <c r="D118">
        <v>9</v>
      </c>
      <c r="E118">
        <v>41</v>
      </c>
      <c r="F118" s="3">
        <f t="shared" si="8"/>
        <v>0.21951219512195122</v>
      </c>
      <c r="G118">
        <v>6</v>
      </c>
      <c r="H118" s="3">
        <f t="shared" si="6"/>
        <v>0.66666666666666663</v>
      </c>
      <c r="I118" s="15">
        <v>1</v>
      </c>
      <c r="J118" s="3">
        <v>0.25</v>
      </c>
    </row>
    <row r="119" spans="1:10" x14ac:dyDescent="0.2">
      <c r="A119">
        <v>2017</v>
      </c>
      <c r="B119" s="1">
        <v>42930</v>
      </c>
      <c r="C119">
        <v>1</v>
      </c>
      <c r="D119">
        <v>19</v>
      </c>
      <c r="E119">
        <v>49</v>
      </c>
      <c r="F119" s="3">
        <f t="shared" ref="F119:F150" si="9">D119/E119</f>
        <v>0.38775510204081631</v>
      </c>
      <c r="G119">
        <v>14</v>
      </c>
      <c r="H119" s="3">
        <f t="shared" si="6"/>
        <v>0.73684210526315785</v>
      </c>
      <c r="I119" s="15">
        <v>0</v>
      </c>
      <c r="J119" s="3">
        <v>0.45200000000000001</v>
      </c>
    </row>
    <row r="120" spans="1:10" x14ac:dyDescent="0.2">
      <c r="A120">
        <v>2017</v>
      </c>
      <c r="B120" s="1">
        <v>42935</v>
      </c>
      <c r="C120">
        <v>1</v>
      </c>
      <c r="D120">
        <v>13</v>
      </c>
      <c r="E120">
        <v>39</v>
      </c>
      <c r="F120" s="3">
        <f t="shared" si="9"/>
        <v>0.33333333333333331</v>
      </c>
      <c r="G120">
        <v>7</v>
      </c>
      <c r="H120" s="3">
        <f t="shared" si="6"/>
        <v>0.53846153846153844</v>
      </c>
      <c r="I120" s="15">
        <v>1</v>
      </c>
      <c r="J120" s="3">
        <v>0.34200000000000003</v>
      </c>
    </row>
    <row r="121" spans="1:10" x14ac:dyDescent="0.2">
      <c r="A121">
        <v>2017</v>
      </c>
      <c r="B121" s="1">
        <v>42940</v>
      </c>
      <c r="C121">
        <v>1</v>
      </c>
      <c r="D121">
        <v>12</v>
      </c>
      <c r="E121">
        <v>40</v>
      </c>
      <c r="F121" s="3">
        <f t="shared" si="9"/>
        <v>0.3</v>
      </c>
      <c r="G121">
        <v>5</v>
      </c>
      <c r="H121" s="3">
        <f t="shared" si="6"/>
        <v>0.41666666666666669</v>
      </c>
      <c r="I121" s="15">
        <v>0</v>
      </c>
      <c r="J121" s="3">
        <v>0.32400000000000001</v>
      </c>
    </row>
    <row r="122" spans="1:10" x14ac:dyDescent="0.2">
      <c r="A122">
        <v>2017</v>
      </c>
      <c r="B122" s="1">
        <v>42945</v>
      </c>
      <c r="C122">
        <v>0</v>
      </c>
      <c r="D122">
        <v>8</v>
      </c>
      <c r="E122">
        <v>38</v>
      </c>
      <c r="F122" s="3">
        <f t="shared" si="9"/>
        <v>0.21052631578947367</v>
      </c>
      <c r="G122">
        <v>2</v>
      </c>
      <c r="H122" s="3">
        <f t="shared" si="6"/>
        <v>0.25</v>
      </c>
      <c r="I122" s="15">
        <v>0</v>
      </c>
      <c r="J122" s="3">
        <v>0.24199999999999999</v>
      </c>
    </row>
    <row r="123" spans="1:10" x14ac:dyDescent="0.2">
      <c r="A123">
        <v>2017</v>
      </c>
      <c r="B123" s="1">
        <v>42951</v>
      </c>
      <c r="C123">
        <v>0</v>
      </c>
      <c r="D123">
        <v>4</v>
      </c>
      <c r="E123">
        <v>33</v>
      </c>
      <c r="F123" s="3">
        <f t="shared" si="9"/>
        <v>0.12121212121212122</v>
      </c>
      <c r="G123">
        <v>0</v>
      </c>
      <c r="H123" s="3">
        <f t="shared" si="6"/>
        <v>0</v>
      </c>
      <c r="I123" s="15">
        <v>1</v>
      </c>
      <c r="J123" s="3">
        <v>0.129</v>
      </c>
    </row>
    <row r="124" spans="1:10" x14ac:dyDescent="0.2">
      <c r="A124">
        <v>2017</v>
      </c>
      <c r="B124" s="1">
        <v>42957</v>
      </c>
      <c r="C124">
        <v>1</v>
      </c>
      <c r="D124">
        <v>13</v>
      </c>
      <c r="E124">
        <v>43</v>
      </c>
      <c r="F124" s="3">
        <f t="shared" si="9"/>
        <v>0.30232558139534882</v>
      </c>
      <c r="G124">
        <v>10</v>
      </c>
      <c r="H124" s="3">
        <f t="shared" si="6"/>
        <v>0.76923076923076927</v>
      </c>
      <c r="I124" s="15">
        <v>0</v>
      </c>
      <c r="J124" s="3">
        <v>0.33300000000000002</v>
      </c>
    </row>
    <row r="125" spans="1:10" x14ac:dyDescent="0.2">
      <c r="A125">
        <v>2017</v>
      </c>
      <c r="B125" s="1">
        <v>42962</v>
      </c>
      <c r="C125">
        <v>0</v>
      </c>
      <c r="D125">
        <v>7</v>
      </c>
      <c r="E125">
        <v>36</v>
      </c>
      <c r="F125" s="3">
        <f t="shared" si="9"/>
        <v>0.19444444444444445</v>
      </c>
      <c r="G125">
        <v>4</v>
      </c>
      <c r="H125" s="3">
        <f t="shared" si="6"/>
        <v>0.5714285714285714</v>
      </c>
      <c r="I125" s="15">
        <v>0</v>
      </c>
      <c r="J125" s="3">
        <v>0.21199999999999999</v>
      </c>
    </row>
    <row r="126" spans="1:10" x14ac:dyDescent="0.2">
      <c r="A126">
        <v>2017</v>
      </c>
      <c r="B126" s="1">
        <v>42967</v>
      </c>
      <c r="C126">
        <v>0</v>
      </c>
      <c r="D126">
        <v>7</v>
      </c>
      <c r="E126">
        <v>36</v>
      </c>
      <c r="F126" s="3">
        <f t="shared" si="9"/>
        <v>0.19444444444444445</v>
      </c>
      <c r="G126">
        <v>4</v>
      </c>
      <c r="H126" s="3">
        <f t="shared" si="6"/>
        <v>0.5714285714285714</v>
      </c>
      <c r="I126" s="15">
        <v>0</v>
      </c>
      <c r="J126" s="3">
        <v>0.22600000000000001</v>
      </c>
    </row>
    <row r="127" spans="1:10" x14ac:dyDescent="0.2">
      <c r="A127">
        <v>2017</v>
      </c>
      <c r="B127" s="1">
        <v>42972</v>
      </c>
      <c r="C127">
        <v>1</v>
      </c>
      <c r="D127">
        <v>9</v>
      </c>
      <c r="E127">
        <v>40</v>
      </c>
      <c r="F127" s="3">
        <f t="shared" si="9"/>
        <v>0.22500000000000001</v>
      </c>
      <c r="G127">
        <v>4</v>
      </c>
      <c r="H127" s="3">
        <f t="shared" si="6"/>
        <v>0.44444444444444442</v>
      </c>
      <c r="I127" s="15">
        <v>0</v>
      </c>
      <c r="J127" s="3">
        <v>0.26500000000000001</v>
      </c>
    </row>
    <row r="128" spans="1:10" x14ac:dyDescent="0.2">
      <c r="A128">
        <v>2017</v>
      </c>
      <c r="B128" s="1">
        <v>42978</v>
      </c>
      <c r="C128">
        <v>1</v>
      </c>
      <c r="D128">
        <v>7</v>
      </c>
      <c r="E128">
        <v>37</v>
      </c>
      <c r="F128" s="3">
        <f t="shared" si="9"/>
        <v>0.1891891891891892</v>
      </c>
      <c r="G128">
        <v>2</v>
      </c>
      <c r="H128" s="3">
        <f t="shared" si="6"/>
        <v>0.2857142857142857</v>
      </c>
      <c r="I128" s="15">
        <v>0</v>
      </c>
      <c r="J128" s="3">
        <v>0.219</v>
      </c>
    </row>
    <row r="129" spans="1:10" x14ac:dyDescent="0.2">
      <c r="A129">
        <v>2017</v>
      </c>
      <c r="B129" s="1">
        <v>42983</v>
      </c>
      <c r="C129">
        <v>0</v>
      </c>
      <c r="D129">
        <v>6</v>
      </c>
      <c r="E129">
        <v>36</v>
      </c>
      <c r="F129" s="3">
        <f t="shared" si="9"/>
        <v>0.16666666666666666</v>
      </c>
      <c r="G129">
        <v>1</v>
      </c>
      <c r="H129" s="3">
        <f t="shared" si="6"/>
        <v>0.16666666666666666</v>
      </c>
      <c r="I129" s="15">
        <v>0</v>
      </c>
      <c r="J129" s="3">
        <v>0.188</v>
      </c>
    </row>
    <row r="130" spans="1:10" x14ac:dyDescent="0.2">
      <c r="A130">
        <v>2017</v>
      </c>
      <c r="B130" s="1">
        <v>42988</v>
      </c>
      <c r="C130">
        <v>0</v>
      </c>
      <c r="D130">
        <v>13</v>
      </c>
      <c r="E130">
        <v>41</v>
      </c>
      <c r="F130" s="3">
        <f t="shared" si="9"/>
        <v>0.31707317073170732</v>
      </c>
      <c r="G130">
        <v>5</v>
      </c>
      <c r="H130" s="3">
        <f t="shared" si="6"/>
        <v>0.38461538461538464</v>
      </c>
      <c r="I130" s="15">
        <v>0</v>
      </c>
      <c r="J130" s="3">
        <v>0.34200000000000003</v>
      </c>
    </row>
    <row r="131" spans="1:10" x14ac:dyDescent="0.2">
      <c r="A131">
        <v>2017</v>
      </c>
      <c r="B131" s="1">
        <v>42994</v>
      </c>
      <c r="C131">
        <v>1</v>
      </c>
      <c r="D131">
        <v>11</v>
      </c>
      <c r="E131">
        <v>38</v>
      </c>
      <c r="F131" s="3">
        <f t="shared" si="9"/>
        <v>0.28947368421052633</v>
      </c>
      <c r="G131">
        <v>7</v>
      </c>
      <c r="H131" s="3">
        <f t="shared" si="6"/>
        <v>0.63636363636363635</v>
      </c>
      <c r="I131" s="15">
        <v>0</v>
      </c>
      <c r="J131" s="3">
        <v>0.314</v>
      </c>
    </row>
    <row r="132" spans="1:10" x14ac:dyDescent="0.2">
      <c r="A132" s="6">
        <v>2017</v>
      </c>
      <c r="B132" s="7">
        <v>43002</v>
      </c>
      <c r="C132" s="6">
        <v>0</v>
      </c>
      <c r="D132" s="6">
        <v>8</v>
      </c>
      <c r="E132" s="6">
        <v>37</v>
      </c>
      <c r="F132" s="8">
        <f t="shared" si="9"/>
        <v>0.21621621621621623</v>
      </c>
      <c r="G132" s="6">
        <v>2</v>
      </c>
      <c r="H132" s="8">
        <f t="shared" si="6"/>
        <v>0.25</v>
      </c>
      <c r="I132" s="6">
        <v>1</v>
      </c>
      <c r="J132" s="6">
        <v>0.23499999999999999</v>
      </c>
    </row>
    <row r="133" spans="1:10" x14ac:dyDescent="0.2">
      <c r="A133">
        <v>2016</v>
      </c>
      <c r="B133" s="1">
        <v>42468</v>
      </c>
      <c r="C133">
        <v>1</v>
      </c>
      <c r="D133">
        <v>9</v>
      </c>
      <c r="E133">
        <v>39</v>
      </c>
      <c r="F133" s="3">
        <f t="shared" si="9"/>
        <v>0.23076923076923078</v>
      </c>
      <c r="G133">
        <v>7</v>
      </c>
      <c r="H133" s="3">
        <f t="shared" si="6"/>
        <v>0.77777777777777779</v>
      </c>
      <c r="I133" s="15">
        <v>1</v>
      </c>
      <c r="J133" s="3">
        <v>0.26500000000000001</v>
      </c>
    </row>
    <row r="134" spans="1:10" x14ac:dyDescent="0.2">
      <c r="A134">
        <v>2016</v>
      </c>
      <c r="B134" s="1">
        <v>42484</v>
      </c>
      <c r="C134">
        <v>1</v>
      </c>
      <c r="D134">
        <v>7</v>
      </c>
      <c r="E134">
        <v>35</v>
      </c>
      <c r="F134" s="3">
        <f t="shared" si="9"/>
        <v>0.2</v>
      </c>
      <c r="G134">
        <v>3</v>
      </c>
      <c r="H134" s="3">
        <f t="shared" si="6"/>
        <v>0.42857142857142855</v>
      </c>
      <c r="I134" s="15">
        <v>0</v>
      </c>
      <c r="J134" s="3">
        <v>0.25</v>
      </c>
    </row>
    <row r="135" spans="1:10" x14ac:dyDescent="0.2">
      <c r="A135">
        <v>2016</v>
      </c>
      <c r="B135" s="1">
        <v>42490</v>
      </c>
      <c r="C135">
        <v>1</v>
      </c>
      <c r="D135">
        <v>8</v>
      </c>
      <c r="E135">
        <v>35</v>
      </c>
      <c r="F135" s="3">
        <f t="shared" si="9"/>
        <v>0.22857142857142856</v>
      </c>
      <c r="G135">
        <v>6</v>
      </c>
      <c r="H135" s="3">
        <f t="shared" si="6"/>
        <v>0.75</v>
      </c>
      <c r="I135" s="15">
        <v>0</v>
      </c>
      <c r="J135" s="3">
        <v>0.26700000000000002</v>
      </c>
    </row>
    <row r="136" spans="1:10" x14ac:dyDescent="0.2">
      <c r="A136">
        <v>2016</v>
      </c>
      <c r="B136" s="1">
        <v>42495</v>
      </c>
      <c r="C136">
        <v>0</v>
      </c>
      <c r="D136">
        <v>4</v>
      </c>
      <c r="E136">
        <v>33</v>
      </c>
      <c r="F136" s="3">
        <f t="shared" si="9"/>
        <v>0.12121212121212122</v>
      </c>
      <c r="G136">
        <v>3</v>
      </c>
      <c r="H136" s="3">
        <f t="shared" si="6"/>
        <v>0.75</v>
      </c>
      <c r="I136" s="15">
        <v>0</v>
      </c>
      <c r="J136" s="3">
        <v>0.129</v>
      </c>
    </row>
    <row r="137" spans="1:10" x14ac:dyDescent="0.2">
      <c r="A137">
        <v>2016</v>
      </c>
      <c r="B137" s="1">
        <v>42500</v>
      </c>
      <c r="C137">
        <v>0</v>
      </c>
      <c r="D137">
        <v>5</v>
      </c>
      <c r="E137">
        <v>34</v>
      </c>
      <c r="F137" s="3">
        <f t="shared" si="9"/>
        <v>0.14705882352941177</v>
      </c>
      <c r="G137">
        <v>2</v>
      </c>
      <c r="H137" s="3">
        <f t="shared" si="6"/>
        <v>0.4</v>
      </c>
      <c r="I137" s="15">
        <v>0</v>
      </c>
      <c r="J137" s="3">
        <v>0.161</v>
      </c>
    </row>
    <row r="138" spans="1:10" x14ac:dyDescent="0.2">
      <c r="A138">
        <v>2016</v>
      </c>
      <c r="B138" s="1">
        <v>42505</v>
      </c>
      <c r="C138">
        <v>0</v>
      </c>
      <c r="D138">
        <v>8</v>
      </c>
      <c r="E138">
        <v>36</v>
      </c>
      <c r="F138" s="3">
        <f t="shared" si="9"/>
        <v>0.22222222222222221</v>
      </c>
      <c r="G138">
        <v>3</v>
      </c>
      <c r="H138" s="3">
        <f t="shared" si="6"/>
        <v>0.375</v>
      </c>
      <c r="I138" s="15">
        <v>0</v>
      </c>
      <c r="J138" s="3">
        <v>0.25</v>
      </c>
    </row>
    <row r="139" spans="1:10" x14ac:dyDescent="0.2">
      <c r="A139">
        <v>2016</v>
      </c>
      <c r="B139" s="1">
        <v>42511</v>
      </c>
      <c r="C139">
        <v>1</v>
      </c>
      <c r="D139">
        <v>9</v>
      </c>
      <c r="E139">
        <v>38</v>
      </c>
      <c r="F139" s="3">
        <f t="shared" si="9"/>
        <v>0.23684210526315788</v>
      </c>
      <c r="G139">
        <v>5</v>
      </c>
      <c r="H139" s="3">
        <f t="shared" si="6"/>
        <v>0.55555555555555558</v>
      </c>
      <c r="I139" s="15">
        <v>0</v>
      </c>
      <c r="J139" s="3">
        <v>0.28999999999999998</v>
      </c>
    </row>
    <row r="140" spans="1:10" x14ac:dyDescent="0.2">
      <c r="A140">
        <v>2016</v>
      </c>
      <c r="B140" s="1">
        <v>42517</v>
      </c>
      <c r="C140">
        <v>1</v>
      </c>
      <c r="D140">
        <v>9</v>
      </c>
      <c r="E140">
        <v>37</v>
      </c>
      <c r="F140" s="3">
        <f t="shared" si="9"/>
        <v>0.24324324324324326</v>
      </c>
      <c r="G140">
        <v>6</v>
      </c>
      <c r="H140" s="3">
        <f t="shared" si="6"/>
        <v>0.66666666666666663</v>
      </c>
      <c r="I140" s="15">
        <v>0</v>
      </c>
      <c r="J140" s="3">
        <v>0.27300000000000002</v>
      </c>
    </row>
    <row r="141" spans="1:10" x14ac:dyDescent="0.2">
      <c r="A141">
        <v>2016</v>
      </c>
      <c r="B141" s="1">
        <v>42522</v>
      </c>
      <c r="C141">
        <v>0</v>
      </c>
      <c r="D141">
        <v>7</v>
      </c>
      <c r="E141">
        <v>54</v>
      </c>
      <c r="F141" s="3">
        <f t="shared" si="9"/>
        <v>0.12962962962962962</v>
      </c>
      <c r="G141">
        <v>1</v>
      </c>
      <c r="H141" s="3">
        <f t="shared" si="6"/>
        <v>0.14285714285714285</v>
      </c>
      <c r="I141" s="15">
        <v>0</v>
      </c>
      <c r="J141" s="3">
        <v>0.17499999999999999</v>
      </c>
    </row>
    <row r="142" spans="1:10" x14ac:dyDescent="0.2">
      <c r="A142">
        <v>2016</v>
      </c>
      <c r="B142" s="1">
        <v>42528</v>
      </c>
      <c r="C142">
        <v>0</v>
      </c>
      <c r="D142">
        <v>4</v>
      </c>
      <c r="E142">
        <v>31</v>
      </c>
      <c r="F142" s="3">
        <f t="shared" si="9"/>
        <v>0.12903225806451613</v>
      </c>
      <c r="G142">
        <v>1</v>
      </c>
      <c r="H142" s="3">
        <f t="shared" si="6"/>
        <v>0.25</v>
      </c>
      <c r="I142" s="15">
        <v>0</v>
      </c>
      <c r="J142" s="3">
        <v>0.13800000000000001</v>
      </c>
    </row>
    <row r="143" spans="1:10" x14ac:dyDescent="0.2">
      <c r="A143">
        <v>2016</v>
      </c>
      <c r="B143" s="1">
        <v>42535</v>
      </c>
      <c r="C143">
        <v>0</v>
      </c>
      <c r="D143">
        <v>3</v>
      </c>
      <c r="E143">
        <v>31</v>
      </c>
      <c r="F143" s="3">
        <f t="shared" si="9"/>
        <v>9.6774193548387094E-2</v>
      </c>
      <c r="G143">
        <v>0</v>
      </c>
      <c r="H143" s="3">
        <f t="shared" si="6"/>
        <v>0</v>
      </c>
      <c r="I143" s="15">
        <v>0</v>
      </c>
      <c r="J143" s="3">
        <v>0.107</v>
      </c>
    </row>
    <row r="144" spans="1:10" x14ac:dyDescent="0.2">
      <c r="A144">
        <v>2016</v>
      </c>
      <c r="B144" s="1">
        <v>42540</v>
      </c>
      <c r="C144">
        <v>0</v>
      </c>
      <c r="D144">
        <v>1</v>
      </c>
      <c r="E144">
        <v>28</v>
      </c>
      <c r="F144" s="3">
        <f t="shared" si="9"/>
        <v>3.5714285714285712E-2</v>
      </c>
      <c r="G144">
        <v>0</v>
      </c>
      <c r="H144" s="3">
        <f t="shared" si="6"/>
        <v>0</v>
      </c>
      <c r="I144" s="15">
        <v>1</v>
      </c>
      <c r="J144" s="3">
        <v>3.5999999999999997E-2</v>
      </c>
    </row>
    <row r="145" spans="1:10" x14ac:dyDescent="0.2">
      <c r="A145">
        <v>2016</v>
      </c>
      <c r="B145" s="1">
        <v>42546</v>
      </c>
      <c r="C145">
        <v>1</v>
      </c>
      <c r="D145">
        <v>8</v>
      </c>
      <c r="E145">
        <v>40</v>
      </c>
      <c r="F145" s="3">
        <f t="shared" si="9"/>
        <v>0.2</v>
      </c>
      <c r="G145">
        <v>1</v>
      </c>
      <c r="H145" s="3">
        <f t="shared" si="6"/>
        <v>0.125</v>
      </c>
      <c r="I145" s="15">
        <v>1</v>
      </c>
      <c r="J145" s="3">
        <v>0.21099999999999999</v>
      </c>
    </row>
    <row r="146" spans="1:10" x14ac:dyDescent="0.2">
      <c r="A146">
        <v>2016</v>
      </c>
      <c r="B146" s="1">
        <v>42552</v>
      </c>
      <c r="C146">
        <v>1</v>
      </c>
      <c r="D146">
        <v>12</v>
      </c>
      <c r="E146">
        <v>40</v>
      </c>
      <c r="F146" s="3">
        <f t="shared" si="9"/>
        <v>0.3</v>
      </c>
      <c r="G146">
        <v>10</v>
      </c>
      <c r="H146" s="3">
        <f t="shared" si="6"/>
        <v>0.83333333333333337</v>
      </c>
      <c r="I146" s="15">
        <v>0</v>
      </c>
      <c r="J146" s="3">
        <v>0.34300000000000003</v>
      </c>
    </row>
    <row r="147" spans="1:10" x14ac:dyDescent="0.2">
      <c r="A147">
        <v>2016</v>
      </c>
      <c r="B147" s="1">
        <v>42557</v>
      </c>
      <c r="C147">
        <v>1</v>
      </c>
      <c r="D147">
        <v>6</v>
      </c>
      <c r="E147">
        <v>32</v>
      </c>
      <c r="F147" s="3">
        <f t="shared" si="9"/>
        <v>0.1875</v>
      </c>
      <c r="G147">
        <v>4</v>
      </c>
      <c r="H147" s="3">
        <f t="shared" si="6"/>
        <v>0.66666666666666663</v>
      </c>
      <c r="I147" s="15">
        <v>0</v>
      </c>
      <c r="J147" s="3">
        <v>0.2</v>
      </c>
    </row>
    <row r="148" spans="1:10" x14ac:dyDescent="0.2">
      <c r="A148">
        <v>2016</v>
      </c>
      <c r="B148" s="1">
        <v>42568</v>
      </c>
      <c r="C148">
        <v>0</v>
      </c>
      <c r="D148">
        <v>8</v>
      </c>
      <c r="E148">
        <v>37</v>
      </c>
      <c r="F148" s="3">
        <f t="shared" si="9"/>
        <v>0.21621621621621623</v>
      </c>
      <c r="G148">
        <v>5</v>
      </c>
      <c r="H148" s="3">
        <f t="shared" si="6"/>
        <v>0.625</v>
      </c>
      <c r="I148" s="15">
        <v>0</v>
      </c>
      <c r="J148" s="3">
        <v>0.23499999999999999</v>
      </c>
    </row>
    <row r="149" spans="1:10" x14ac:dyDescent="0.2">
      <c r="A149">
        <v>2016</v>
      </c>
      <c r="B149" s="1">
        <v>42574</v>
      </c>
      <c r="C149">
        <v>0</v>
      </c>
      <c r="D149">
        <v>10</v>
      </c>
      <c r="E149">
        <v>40</v>
      </c>
      <c r="F149" s="3">
        <f t="shared" si="9"/>
        <v>0.25</v>
      </c>
      <c r="G149">
        <v>2</v>
      </c>
      <c r="H149" s="3">
        <f t="shared" si="6"/>
        <v>0.2</v>
      </c>
      <c r="I149" s="15">
        <v>1</v>
      </c>
      <c r="J149" s="3">
        <v>0.27800000000000002</v>
      </c>
    </row>
    <row r="150" spans="1:10" x14ac:dyDescent="0.2">
      <c r="A150">
        <v>2016</v>
      </c>
      <c r="B150" s="1">
        <v>42579</v>
      </c>
      <c r="C150">
        <v>0</v>
      </c>
      <c r="D150">
        <v>10</v>
      </c>
      <c r="E150">
        <v>37</v>
      </c>
      <c r="F150" s="3">
        <f t="shared" si="9"/>
        <v>0.27027027027027029</v>
      </c>
      <c r="G150">
        <v>1</v>
      </c>
      <c r="H150" s="3">
        <f t="shared" si="6"/>
        <v>0.1</v>
      </c>
      <c r="I150" s="15">
        <v>0</v>
      </c>
      <c r="J150" s="3">
        <v>0.27800000000000002</v>
      </c>
    </row>
    <row r="151" spans="1:10" x14ac:dyDescent="0.2">
      <c r="A151">
        <v>2016</v>
      </c>
      <c r="B151" s="1">
        <v>42584</v>
      </c>
      <c r="C151">
        <v>1</v>
      </c>
      <c r="D151">
        <v>10</v>
      </c>
      <c r="E151">
        <v>35</v>
      </c>
      <c r="F151" s="3">
        <f t="shared" ref="F151:F182" si="10">D151/E151</f>
        <v>0.2857142857142857</v>
      </c>
      <c r="G151">
        <v>7</v>
      </c>
      <c r="H151" s="3">
        <f t="shared" si="6"/>
        <v>0.7</v>
      </c>
      <c r="I151" s="15">
        <v>1</v>
      </c>
      <c r="J151" s="3">
        <v>0.28599999999999998</v>
      </c>
    </row>
    <row r="152" spans="1:10" x14ac:dyDescent="0.2">
      <c r="A152">
        <v>2016</v>
      </c>
      <c r="B152" s="1">
        <v>42589</v>
      </c>
      <c r="C152">
        <v>1</v>
      </c>
      <c r="D152">
        <v>5</v>
      </c>
      <c r="E152">
        <v>33</v>
      </c>
      <c r="F152" s="3">
        <f t="shared" si="10"/>
        <v>0.15151515151515152</v>
      </c>
      <c r="G152">
        <v>3</v>
      </c>
      <c r="H152" s="3">
        <f t="shared" si="6"/>
        <v>0.6</v>
      </c>
      <c r="I152" s="15">
        <v>0</v>
      </c>
      <c r="J152" s="3">
        <v>0.156</v>
      </c>
    </row>
    <row r="153" spans="1:10" x14ac:dyDescent="0.2">
      <c r="A153">
        <v>2016</v>
      </c>
      <c r="B153" s="1">
        <v>42595</v>
      </c>
      <c r="C153">
        <v>1</v>
      </c>
      <c r="D153">
        <v>7</v>
      </c>
      <c r="E153">
        <v>42</v>
      </c>
      <c r="F153" s="3">
        <f t="shared" si="10"/>
        <v>0.16666666666666666</v>
      </c>
      <c r="G153">
        <v>3</v>
      </c>
      <c r="H153" s="3">
        <f t="shared" si="6"/>
        <v>0.42857142857142855</v>
      </c>
      <c r="I153" s="15">
        <v>0</v>
      </c>
      <c r="J153" s="3">
        <v>0.189</v>
      </c>
    </row>
    <row r="154" spans="1:10" x14ac:dyDescent="0.2">
      <c r="A154">
        <v>2016</v>
      </c>
      <c r="B154" s="1">
        <v>42600</v>
      </c>
      <c r="C154">
        <v>0</v>
      </c>
      <c r="D154">
        <v>13</v>
      </c>
      <c r="E154">
        <v>42</v>
      </c>
      <c r="F154" s="3">
        <f t="shared" si="10"/>
        <v>0.30952380952380953</v>
      </c>
      <c r="G154">
        <v>7</v>
      </c>
      <c r="H154" s="3">
        <f t="shared" si="6"/>
        <v>0.53846153846153844</v>
      </c>
      <c r="I154" s="15">
        <v>1</v>
      </c>
      <c r="J154" s="3">
        <v>0.34200000000000003</v>
      </c>
    </row>
    <row r="155" spans="1:10" x14ac:dyDescent="0.2">
      <c r="A155">
        <v>2016</v>
      </c>
      <c r="B155" s="1">
        <v>42606</v>
      </c>
      <c r="C155">
        <v>0</v>
      </c>
      <c r="D155">
        <v>4</v>
      </c>
      <c r="E155">
        <v>33</v>
      </c>
      <c r="F155" s="3">
        <f t="shared" si="10"/>
        <v>0.12121212121212122</v>
      </c>
      <c r="G155">
        <v>1</v>
      </c>
      <c r="H155" s="3">
        <f t="shared" si="6"/>
        <v>0.25</v>
      </c>
      <c r="I155" s="15">
        <v>1</v>
      </c>
      <c r="J155" s="3">
        <v>0.13300000000000001</v>
      </c>
    </row>
    <row r="156" spans="1:10" x14ac:dyDescent="0.2">
      <c r="A156" s="6">
        <v>2016</v>
      </c>
      <c r="B156" s="7">
        <v>42614</v>
      </c>
      <c r="C156" s="6">
        <v>0</v>
      </c>
      <c r="D156" s="6">
        <v>9</v>
      </c>
      <c r="E156" s="6">
        <v>39</v>
      </c>
      <c r="F156" s="8">
        <f t="shared" si="10"/>
        <v>0.23076923076923078</v>
      </c>
      <c r="G156" s="6">
        <v>4</v>
      </c>
      <c r="H156" s="8">
        <f t="shared" si="6"/>
        <v>0.44444444444444442</v>
      </c>
      <c r="I156" s="6">
        <v>0</v>
      </c>
      <c r="J156" s="6">
        <v>0.25700000000000001</v>
      </c>
    </row>
    <row r="157" spans="1:10" x14ac:dyDescent="0.2">
      <c r="A157">
        <v>2015</v>
      </c>
      <c r="B157" s="1">
        <v>42102</v>
      </c>
      <c r="C157">
        <v>0</v>
      </c>
      <c r="D157">
        <v>6</v>
      </c>
      <c r="E157">
        <v>33</v>
      </c>
      <c r="F157" s="3">
        <f t="shared" si="10"/>
        <v>0.18181818181818182</v>
      </c>
      <c r="G157">
        <v>1</v>
      </c>
      <c r="H157" s="3">
        <f t="shared" si="6"/>
        <v>0.16666666666666666</v>
      </c>
      <c r="I157" s="15">
        <v>1</v>
      </c>
      <c r="J157" s="3">
        <v>0.188</v>
      </c>
    </row>
    <row r="158" spans="1:10" x14ac:dyDescent="0.2">
      <c r="A158">
        <v>2015</v>
      </c>
      <c r="B158" s="1">
        <v>42107</v>
      </c>
      <c r="C158">
        <v>1</v>
      </c>
      <c r="D158">
        <v>6</v>
      </c>
      <c r="E158">
        <v>35</v>
      </c>
      <c r="F158" s="3">
        <f t="shared" si="10"/>
        <v>0.17142857142857143</v>
      </c>
      <c r="G158">
        <v>2</v>
      </c>
      <c r="H158" s="3">
        <f t="shared" si="6"/>
        <v>0.33333333333333331</v>
      </c>
      <c r="I158" s="15">
        <v>0</v>
      </c>
      <c r="J158" s="3">
        <v>0.2</v>
      </c>
    </row>
    <row r="159" spans="1:10" x14ac:dyDescent="0.2">
      <c r="A159">
        <v>2015</v>
      </c>
      <c r="B159" s="1">
        <v>42112</v>
      </c>
      <c r="C159">
        <v>1</v>
      </c>
      <c r="D159">
        <v>10</v>
      </c>
      <c r="E159">
        <v>34</v>
      </c>
      <c r="F159" s="3">
        <f t="shared" si="10"/>
        <v>0.29411764705882354</v>
      </c>
      <c r="G159">
        <v>5</v>
      </c>
      <c r="H159" s="3">
        <f t="shared" si="6"/>
        <v>0.5</v>
      </c>
      <c r="I159" s="15">
        <v>0</v>
      </c>
      <c r="J159" s="3">
        <v>0.30299999999999999</v>
      </c>
    </row>
    <row r="160" spans="1:10" x14ac:dyDescent="0.2">
      <c r="A160">
        <v>2015</v>
      </c>
      <c r="B160" s="1">
        <v>42118</v>
      </c>
      <c r="C160">
        <v>0</v>
      </c>
      <c r="D160">
        <v>5</v>
      </c>
      <c r="E160">
        <v>32</v>
      </c>
      <c r="F160" s="3">
        <f t="shared" si="10"/>
        <v>0.15625</v>
      </c>
      <c r="G160">
        <v>1</v>
      </c>
      <c r="H160" s="3">
        <f t="shared" si="6"/>
        <v>0.2</v>
      </c>
      <c r="I160" s="15">
        <v>0</v>
      </c>
      <c r="J160" s="3">
        <v>0.161</v>
      </c>
    </row>
    <row r="161" spans="1:10" x14ac:dyDescent="0.2">
      <c r="A161">
        <v>2015</v>
      </c>
      <c r="B161" s="1">
        <v>42124</v>
      </c>
      <c r="C161">
        <v>0</v>
      </c>
      <c r="D161">
        <v>7</v>
      </c>
      <c r="E161">
        <v>35</v>
      </c>
      <c r="F161" s="3">
        <f t="shared" si="10"/>
        <v>0.2</v>
      </c>
      <c r="G161">
        <v>2</v>
      </c>
      <c r="H161" s="3">
        <f t="shared" si="6"/>
        <v>0.2857142857142857</v>
      </c>
      <c r="I161" s="15">
        <v>0</v>
      </c>
      <c r="J161" s="3">
        <v>0.20599999999999999</v>
      </c>
    </row>
    <row r="162" spans="1:10" x14ac:dyDescent="0.2">
      <c r="A162">
        <v>2015</v>
      </c>
      <c r="B162" s="1">
        <v>42130</v>
      </c>
      <c r="C162">
        <v>1</v>
      </c>
      <c r="D162">
        <v>7</v>
      </c>
      <c r="E162">
        <v>34</v>
      </c>
      <c r="F162" s="3">
        <f t="shared" si="10"/>
        <v>0.20588235294117646</v>
      </c>
      <c r="G162">
        <v>5</v>
      </c>
      <c r="H162" s="3">
        <f t="shared" si="6"/>
        <v>0.7142857142857143</v>
      </c>
      <c r="I162" s="15">
        <v>0</v>
      </c>
      <c r="J162" s="3">
        <v>0.23300000000000001</v>
      </c>
    </row>
    <row r="163" spans="1:10" x14ac:dyDescent="0.2">
      <c r="A163">
        <v>2015</v>
      </c>
      <c r="B163" s="1">
        <v>42135</v>
      </c>
      <c r="C163">
        <v>0</v>
      </c>
      <c r="D163">
        <v>6</v>
      </c>
      <c r="E163">
        <v>36</v>
      </c>
      <c r="F163" s="3">
        <f t="shared" si="10"/>
        <v>0.16666666666666666</v>
      </c>
      <c r="G163">
        <v>3</v>
      </c>
      <c r="H163" s="3">
        <f t="shared" si="6"/>
        <v>0.5</v>
      </c>
      <c r="I163" s="15">
        <v>1</v>
      </c>
      <c r="J163" s="3">
        <v>0.19400000000000001</v>
      </c>
    </row>
    <row r="164" spans="1:10" x14ac:dyDescent="0.2">
      <c r="A164">
        <v>2015</v>
      </c>
      <c r="B164" s="1">
        <v>42140</v>
      </c>
      <c r="C164">
        <v>1</v>
      </c>
      <c r="D164">
        <v>16</v>
      </c>
      <c r="E164">
        <v>42</v>
      </c>
      <c r="F164" s="3">
        <f t="shared" si="10"/>
        <v>0.38095238095238093</v>
      </c>
      <c r="G164">
        <v>14</v>
      </c>
      <c r="H164" s="3">
        <f t="shared" si="6"/>
        <v>0.875</v>
      </c>
      <c r="I164" s="15">
        <v>0</v>
      </c>
      <c r="J164" s="3">
        <v>0.41</v>
      </c>
    </row>
    <row r="165" spans="1:10" x14ac:dyDescent="0.2">
      <c r="A165">
        <v>2015</v>
      </c>
      <c r="B165" s="1">
        <v>42145</v>
      </c>
      <c r="C165">
        <v>1</v>
      </c>
      <c r="D165">
        <v>9</v>
      </c>
      <c r="E165">
        <v>35</v>
      </c>
      <c r="F165" s="3">
        <f t="shared" si="10"/>
        <v>0.25714285714285712</v>
      </c>
      <c r="G165">
        <v>5</v>
      </c>
      <c r="H165" s="3">
        <f t="shared" si="6"/>
        <v>0.55555555555555558</v>
      </c>
      <c r="I165" s="15">
        <v>0</v>
      </c>
      <c r="J165" s="3">
        <v>0.33300000000000002</v>
      </c>
    </row>
    <row r="166" spans="1:10" x14ac:dyDescent="0.2">
      <c r="A166">
        <v>2015</v>
      </c>
      <c r="B166" s="1">
        <v>42150</v>
      </c>
      <c r="C166">
        <v>1</v>
      </c>
      <c r="D166">
        <v>9</v>
      </c>
      <c r="E166">
        <v>42</v>
      </c>
      <c r="F166" s="3">
        <f t="shared" si="10"/>
        <v>0.21428571428571427</v>
      </c>
      <c r="G166">
        <v>5</v>
      </c>
      <c r="H166" s="3">
        <f t="shared" si="6"/>
        <v>0.55555555555555558</v>
      </c>
      <c r="I166" s="15">
        <v>0</v>
      </c>
      <c r="J166" s="3">
        <v>0.26500000000000001</v>
      </c>
    </row>
    <row r="167" spans="1:10" x14ac:dyDescent="0.2">
      <c r="A167">
        <v>2015</v>
      </c>
      <c r="B167" s="1">
        <v>42156</v>
      </c>
      <c r="C167">
        <v>1</v>
      </c>
      <c r="D167">
        <v>13</v>
      </c>
      <c r="E167">
        <v>39</v>
      </c>
      <c r="F167" s="3">
        <f t="shared" si="10"/>
        <v>0.33333333333333331</v>
      </c>
      <c r="G167">
        <v>7</v>
      </c>
      <c r="H167" s="3">
        <f t="shared" si="6"/>
        <v>0.53846153846153844</v>
      </c>
      <c r="I167" s="15">
        <v>0</v>
      </c>
      <c r="J167" s="3">
        <v>0.34200000000000003</v>
      </c>
    </row>
    <row r="168" spans="1:10" x14ac:dyDescent="0.2">
      <c r="A168">
        <v>2015</v>
      </c>
      <c r="B168" s="1">
        <v>42162</v>
      </c>
      <c r="C168">
        <v>1</v>
      </c>
      <c r="D168">
        <v>11</v>
      </c>
      <c r="E168">
        <v>40</v>
      </c>
      <c r="F168" s="3">
        <f t="shared" si="10"/>
        <v>0.27500000000000002</v>
      </c>
      <c r="G168">
        <v>6</v>
      </c>
      <c r="H168" s="3">
        <f t="shared" si="6"/>
        <v>0.54545454545454541</v>
      </c>
      <c r="I168" s="15">
        <v>0</v>
      </c>
      <c r="J168" s="3">
        <v>0.30599999999999999</v>
      </c>
    </row>
    <row r="169" spans="1:10" x14ac:dyDescent="0.2">
      <c r="A169">
        <v>2015</v>
      </c>
      <c r="B169" s="1">
        <v>42168</v>
      </c>
      <c r="C169">
        <v>0</v>
      </c>
      <c r="D169">
        <v>11</v>
      </c>
      <c r="E169">
        <v>45</v>
      </c>
      <c r="F169" s="3">
        <f t="shared" si="10"/>
        <v>0.24444444444444444</v>
      </c>
      <c r="G169">
        <v>3</v>
      </c>
      <c r="H169" s="3">
        <f t="shared" si="6"/>
        <v>0.27272727272727271</v>
      </c>
      <c r="I169" s="15">
        <v>1</v>
      </c>
      <c r="J169" s="3">
        <v>0.29499999999999998</v>
      </c>
    </row>
    <row r="170" spans="1:10" x14ac:dyDescent="0.2">
      <c r="A170">
        <v>2015</v>
      </c>
      <c r="B170" s="1">
        <v>42174</v>
      </c>
      <c r="C170">
        <v>0</v>
      </c>
      <c r="D170">
        <v>6</v>
      </c>
      <c r="E170">
        <v>34</v>
      </c>
      <c r="F170" s="3">
        <f t="shared" si="10"/>
        <v>0.17647058823529413</v>
      </c>
      <c r="G170">
        <v>1</v>
      </c>
      <c r="H170" s="3">
        <f t="shared" si="6"/>
        <v>0.16666666666666666</v>
      </c>
      <c r="I170" s="15">
        <v>0</v>
      </c>
      <c r="J170" s="3">
        <v>0.19400000000000001</v>
      </c>
    </row>
    <row r="171" spans="1:10" x14ac:dyDescent="0.2">
      <c r="A171">
        <v>2015</v>
      </c>
      <c r="B171" s="1">
        <v>42180</v>
      </c>
      <c r="C171">
        <v>1</v>
      </c>
      <c r="D171">
        <v>10</v>
      </c>
      <c r="E171">
        <v>37</v>
      </c>
      <c r="F171" s="3">
        <f t="shared" si="10"/>
        <v>0.27027027027027029</v>
      </c>
      <c r="G171">
        <v>2</v>
      </c>
      <c r="H171" s="3">
        <f t="shared" si="6"/>
        <v>0.2</v>
      </c>
      <c r="I171" s="15">
        <v>0</v>
      </c>
      <c r="J171" s="3">
        <v>0.29399999999999998</v>
      </c>
    </row>
    <row r="172" spans="1:10" x14ac:dyDescent="0.2">
      <c r="A172">
        <v>2015</v>
      </c>
      <c r="B172" s="1">
        <v>42187</v>
      </c>
      <c r="C172">
        <v>0</v>
      </c>
      <c r="D172">
        <v>5</v>
      </c>
      <c r="E172">
        <v>31</v>
      </c>
      <c r="F172" s="3">
        <f t="shared" si="10"/>
        <v>0.16129032258064516</v>
      </c>
      <c r="G172">
        <v>1</v>
      </c>
      <c r="H172" s="3">
        <f t="shared" si="6"/>
        <v>0.2</v>
      </c>
      <c r="I172" s="15">
        <v>1</v>
      </c>
      <c r="J172" s="3">
        <v>0.16700000000000001</v>
      </c>
    </row>
    <row r="173" spans="1:10" x14ac:dyDescent="0.2">
      <c r="A173">
        <v>2015</v>
      </c>
      <c r="B173" s="1">
        <v>42193</v>
      </c>
      <c r="C173">
        <v>1</v>
      </c>
      <c r="D173">
        <v>8</v>
      </c>
      <c r="E173">
        <v>37</v>
      </c>
      <c r="F173" s="3">
        <f t="shared" si="10"/>
        <v>0.21621621621621623</v>
      </c>
      <c r="G173">
        <v>4</v>
      </c>
      <c r="H173" s="3">
        <f t="shared" si="6"/>
        <v>0.5</v>
      </c>
      <c r="I173" s="15">
        <v>0</v>
      </c>
      <c r="J173" s="3">
        <v>0.22900000000000001</v>
      </c>
    </row>
    <row r="174" spans="1:10" x14ac:dyDescent="0.2">
      <c r="A174">
        <v>2015</v>
      </c>
      <c r="B174" s="1">
        <v>42206</v>
      </c>
      <c r="C174">
        <v>1</v>
      </c>
      <c r="D174">
        <v>10</v>
      </c>
      <c r="E174">
        <v>42</v>
      </c>
      <c r="F174" s="3">
        <f t="shared" si="10"/>
        <v>0.23809523809523808</v>
      </c>
      <c r="G174">
        <v>7</v>
      </c>
      <c r="H174" s="3">
        <f t="shared" si="6"/>
        <v>0.7</v>
      </c>
      <c r="I174" s="15">
        <v>0</v>
      </c>
      <c r="J174" s="3">
        <v>0.26300000000000001</v>
      </c>
    </row>
    <row r="175" spans="1:10" x14ac:dyDescent="0.2">
      <c r="A175">
        <v>2015</v>
      </c>
      <c r="B175" s="1">
        <v>42211</v>
      </c>
      <c r="C175">
        <v>1</v>
      </c>
      <c r="D175">
        <v>6</v>
      </c>
      <c r="E175">
        <v>40</v>
      </c>
      <c r="F175" s="3">
        <f t="shared" si="10"/>
        <v>0.15</v>
      </c>
      <c r="G175">
        <v>3</v>
      </c>
      <c r="H175" s="3">
        <f t="shared" si="6"/>
        <v>0.5</v>
      </c>
      <c r="I175" s="15">
        <v>1</v>
      </c>
      <c r="J175" s="3">
        <v>0.188</v>
      </c>
    </row>
    <row r="176" spans="1:10" x14ac:dyDescent="0.2">
      <c r="A176">
        <v>2015</v>
      </c>
      <c r="B176" s="1">
        <v>42217</v>
      </c>
      <c r="C176">
        <v>1</v>
      </c>
      <c r="D176">
        <v>6</v>
      </c>
      <c r="E176">
        <v>33</v>
      </c>
      <c r="F176" s="3">
        <f t="shared" si="10"/>
        <v>0.18181818181818182</v>
      </c>
      <c r="G176">
        <v>3</v>
      </c>
      <c r="H176" s="3">
        <f t="shared" si="6"/>
        <v>0.5</v>
      </c>
      <c r="I176" s="15">
        <v>0</v>
      </c>
      <c r="J176" s="3">
        <v>0.20699999999999999</v>
      </c>
    </row>
    <row r="177" spans="1:10" x14ac:dyDescent="0.2">
      <c r="A177">
        <v>2015</v>
      </c>
      <c r="B177" s="1">
        <v>42223</v>
      </c>
      <c r="C177">
        <v>1</v>
      </c>
      <c r="D177">
        <v>8</v>
      </c>
      <c r="E177">
        <v>37</v>
      </c>
      <c r="F177" s="3">
        <f t="shared" si="10"/>
        <v>0.21621621621621623</v>
      </c>
      <c r="G177">
        <v>4</v>
      </c>
      <c r="H177" s="3">
        <f t="shared" si="6"/>
        <v>0.5</v>
      </c>
      <c r="I177" s="15">
        <v>0</v>
      </c>
      <c r="J177" s="3">
        <v>0.222</v>
      </c>
    </row>
    <row r="178" spans="1:10" x14ac:dyDescent="0.2">
      <c r="A178">
        <v>2015</v>
      </c>
      <c r="B178" s="1">
        <v>42228</v>
      </c>
      <c r="C178">
        <v>1</v>
      </c>
      <c r="D178">
        <v>6</v>
      </c>
      <c r="E178">
        <v>32</v>
      </c>
      <c r="F178" s="3">
        <f t="shared" si="10"/>
        <v>0.1875</v>
      </c>
      <c r="G178">
        <v>3</v>
      </c>
      <c r="H178" s="3">
        <f t="shared" si="6"/>
        <v>0.5</v>
      </c>
      <c r="I178" s="15">
        <v>0</v>
      </c>
      <c r="J178" s="3">
        <v>0.20699999999999999</v>
      </c>
    </row>
    <row r="179" spans="1:10" x14ac:dyDescent="0.2">
      <c r="A179">
        <v>2015</v>
      </c>
      <c r="B179" s="1">
        <v>42234</v>
      </c>
      <c r="C179">
        <v>1</v>
      </c>
      <c r="D179">
        <v>8</v>
      </c>
      <c r="E179">
        <v>40</v>
      </c>
      <c r="F179" s="3">
        <f t="shared" si="10"/>
        <v>0.2</v>
      </c>
      <c r="G179">
        <v>3</v>
      </c>
      <c r="H179" s="3">
        <f t="shared" si="6"/>
        <v>0.375</v>
      </c>
      <c r="I179" s="15">
        <v>0</v>
      </c>
      <c r="J179" s="3">
        <v>0.222</v>
      </c>
    </row>
    <row r="180" spans="1:10" x14ac:dyDescent="0.2">
      <c r="A180">
        <v>2015</v>
      </c>
      <c r="B180" s="1">
        <v>42240</v>
      </c>
      <c r="C180">
        <v>1</v>
      </c>
      <c r="D180">
        <v>20</v>
      </c>
      <c r="E180">
        <v>50</v>
      </c>
      <c r="F180" s="3">
        <f t="shared" si="10"/>
        <v>0.4</v>
      </c>
      <c r="G180">
        <v>16</v>
      </c>
      <c r="H180" s="3">
        <f t="shared" si="6"/>
        <v>0.8</v>
      </c>
      <c r="I180" s="15">
        <v>0</v>
      </c>
      <c r="J180" s="3">
        <v>0.42599999999999999</v>
      </c>
    </row>
    <row r="181" spans="1:10" x14ac:dyDescent="0.2">
      <c r="A181">
        <v>2015</v>
      </c>
      <c r="B181" s="1">
        <v>42245</v>
      </c>
      <c r="C181">
        <v>0</v>
      </c>
      <c r="D181">
        <v>5</v>
      </c>
      <c r="E181">
        <v>33</v>
      </c>
      <c r="F181" s="3">
        <f t="shared" si="10"/>
        <v>0.15151515151515152</v>
      </c>
      <c r="G181">
        <v>1</v>
      </c>
      <c r="H181" s="3">
        <f t="shared" si="6"/>
        <v>0.2</v>
      </c>
      <c r="I181" s="15">
        <v>0</v>
      </c>
      <c r="J181" s="3">
        <v>0.16700000000000001</v>
      </c>
    </row>
    <row r="182" spans="1:10" x14ac:dyDescent="0.2">
      <c r="A182">
        <v>2015</v>
      </c>
      <c r="B182" s="1">
        <v>42251</v>
      </c>
      <c r="C182">
        <v>0</v>
      </c>
      <c r="D182">
        <v>12</v>
      </c>
      <c r="E182">
        <v>51</v>
      </c>
      <c r="F182" s="3">
        <f t="shared" si="10"/>
        <v>0.23529411764705882</v>
      </c>
      <c r="G182">
        <v>5</v>
      </c>
      <c r="H182" s="3">
        <f t="shared" si="6"/>
        <v>0.41666666666666669</v>
      </c>
      <c r="I182" s="15">
        <v>0</v>
      </c>
      <c r="J182" s="3">
        <v>0.27900000000000003</v>
      </c>
    </row>
    <row r="183" spans="1:10" x14ac:dyDescent="0.2">
      <c r="A183">
        <v>2015</v>
      </c>
      <c r="B183" s="1">
        <v>42256</v>
      </c>
      <c r="C183">
        <v>1</v>
      </c>
      <c r="D183">
        <v>8</v>
      </c>
      <c r="E183">
        <v>35</v>
      </c>
      <c r="F183" s="3">
        <f t="shared" ref="F183:F208" si="11">D183/E183</f>
        <v>0.22857142857142856</v>
      </c>
      <c r="G183">
        <v>5</v>
      </c>
      <c r="H183" s="3">
        <f t="shared" si="6"/>
        <v>0.625</v>
      </c>
      <c r="I183" s="15">
        <v>0</v>
      </c>
      <c r="J183" s="3">
        <v>0.23499999999999999</v>
      </c>
    </row>
    <row r="184" spans="1:10" x14ac:dyDescent="0.2">
      <c r="A184">
        <v>2015</v>
      </c>
      <c r="B184" s="1">
        <v>42262</v>
      </c>
      <c r="C184">
        <v>0</v>
      </c>
      <c r="D184">
        <v>7</v>
      </c>
      <c r="E184">
        <v>40</v>
      </c>
      <c r="F184" s="3">
        <f t="shared" si="11"/>
        <v>0.17499999999999999</v>
      </c>
      <c r="G184">
        <v>3</v>
      </c>
      <c r="H184" s="3">
        <f t="shared" si="6"/>
        <v>0.42857142857142855</v>
      </c>
      <c r="I184" s="15">
        <v>0</v>
      </c>
      <c r="J184" s="3">
        <v>0.21199999999999999</v>
      </c>
    </row>
    <row r="185" spans="1:10" x14ac:dyDescent="0.2">
      <c r="A185">
        <v>2015</v>
      </c>
      <c r="B185" s="1">
        <v>42274</v>
      </c>
      <c r="C185">
        <v>1</v>
      </c>
      <c r="D185">
        <v>12</v>
      </c>
      <c r="E185">
        <v>44</v>
      </c>
      <c r="F185" s="3">
        <f t="shared" si="11"/>
        <v>0.27272727272727271</v>
      </c>
      <c r="G185">
        <v>8</v>
      </c>
      <c r="H185" s="3">
        <f t="shared" si="6"/>
        <v>0.66666666666666663</v>
      </c>
      <c r="I185" s="15">
        <v>0</v>
      </c>
      <c r="J185" s="3">
        <v>0.28599999999999998</v>
      </c>
    </row>
    <row r="186" spans="1:10" x14ac:dyDescent="0.2">
      <c r="A186" s="6">
        <v>2015</v>
      </c>
      <c r="B186" s="7">
        <v>42281</v>
      </c>
      <c r="C186" s="6">
        <v>1</v>
      </c>
      <c r="D186" s="6">
        <v>5</v>
      </c>
      <c r="E186" s="6">
        <v>30</v>
      </c>
      <c r="F186" s="8">
        <f t="shared" si="11"/>
        <v>0.16666666666666666</v>
      </c>
      <c r="G186" s="6">
        <v>1</v>
      </c>
      <c r="H186" s="8">
        <f t="shared" si="6"/>
        <v>0.2</v>
      </c>
      <c r="I186" s="6">
        <v>0</v>
      </c>
      <c r="J186" s="6">
        <v>0.185</v>
      </c>
    </row>
    <row r="187" spans="1:10" x14ac:dyDescent="0.2">
      <c r="A187">
        <v>2014</v>
      </c>
      <c r="B187" s="1">
        <v>41774</v>
      </c>
      <c r="C187">
        <v>0</v>
      </c>
      <c r="D187">
        <v>3</v>
      </c>
      <c r="E187">
        <v>33</v>
      </c>
      <c r="F187" s="3">
        <f t="shared" si="11"/>
        <v>9.0909090909090912E-2</v>
      </c>
      <c r="G187">
        <v>0</v>
      </c>
      <c r="H187" s="3">
        <f t="shared" si="6"/>
        <v>0</v>
      </c>
      <c r="I187">
        <v>0</v>
      </c>
      <c r="J187" s="3">
        <v>0.10299999999999999</v>
      </c>
    </row>
    <row r="188" spans="1:10" x14ac:dyDescent="0.2">
      <c r="A188">
        <v>2014</v>
      </c>
      <c r="B188" s="1">
        <v>41780</v>
      </c>
      <c r="C188">
        <v>0</v>
      </c>
      <c r="D188">
        <v>13</v>
      </c>
      <c r="E188">
        <v>39</v>
      </c>
      <c r="F188" s="3">
        <f t="shared" si="11"/>
        <v>0.33333333333333331</v>
      </c>
      <c r="G188">
        <v>5</v>
      </c>
      <c r="H188" s="3">
        <f t="shared" si="6"/>
        <v>0.38461538461538464</v>
      </c>
      <c r="I188">
        <v>0</v>
      </c>
      <c r="J188" s="3">
        <v>0.34200000000000003</v>
      </c>
    </row>
    <row r="189" spans="1:10" x14ac:dyDescent="0.2">
      <c r="A189">
        <v>2014</v>
      </c>
      <c r="B189" s="1">
        <v>41785</v>
      </c>
      <c r="C189">
        <v>0</v>
      </c>
      <c r="D189">
        <v>8</v>
      </c>
      <c r="E189">
        <v>36</v>
      </c>
      <c r="F189" s="3">
        <f t="shared" si="11"/>
        <v>0.22222222222222221</v>
      </c>
      <c r="G189">
        <v>3</v>
      </c>
      <c r="H189" s="3">
        <f t="shared" si="6"/>
        <v>0.375</v>
      </c>
      <c r="I189">
        <v>0</v>
      </c>
      <c r="J189" s="3">
        <v>0.23499999999999999</v>
      </c>
    </row>
    <row r="190" spans="1:10" x14ac:dyDescent="0.2">
      <c r="A190">
        <v>2014</v>
      </c>
      <c r="B190" s="1">
        <v>41790</v>
      </c>
      <c r="C190">
        <v>1</v>
      </c>
      <c r="D190">
        <v>11</v>
      </c>
      <c r="E190">
        <v>58</v>
      </c>
      <c r="F190" s="3">
        <f t="shared" si="11"/>
        <v>0.18965517241379309</v>
      </c>
      <c r="G190">
        <v>5</v>
      </c>
      <c r="H190" s="3">
        <f t="shared" si="6"/>
        <v>0.45454545454545453</v>
      </c>
      <c r="I190">
        <v>0</v>
      </c>
      <c r="J190" s="3">
        <v>0.24399999999999999</v>
      </c>
    </row>
    <row r="191" spans="1:10" x14ac:dyDescent="0.2">
      <c r="A191">
        <v>2014</v>
      </c>
      <c r="B191" s="1">
        <v>41795</v>
      </c>
      <c r="C191">
        <v>0</v>
      </c>
      <c r="D191">
        <v>8</v>
      </c>
      <c r="E191">
        <v>42</v>
      </c>
      <c r="F191" s="3">
        <f t="shared" si="11"/>
        <v>0.19047619047619047</v>
      </c>
      <c r="G191">
        <v>4</v>
      </c>
      <c r="H191" s="3">
        <f t="shared" si="6"/>
        <v>0.5</v>
      </c>
      <c r="I191">
        <v>0</v>
      </c>
      <c r="J191" s="3">
        <v>0.22900000000000001</v>
      </c>
    </row>
    <row r="192" spans="1:10" x14ac:dyDescent="0.2">
      <c r="A192">
        <v>2014</v>
      </c>
      <c r="B192" s="1">
        <v>41801</v>
      </c>
      <c r="C192">
        <v>0</v>
      </c>
      <c r="D192">
        <v>5</v>
      </c>
      <c r="E192">
        <v>32</v>
      </c>
      <c r="F192" s="3">
        <f t="shared" si="11"/>
        <v>0.15625</v>
      </c>
      <c r="G192">
        <v>1</v>
      </c>
      <c r="H192" s="3">
        <f t="shared" si="6"/>
        <v>0.2</v>
      </c>
      <c r="I192">
        <v>0</v>
      </c>
      <c r="J192" s="3">
        <v>0.16700000000000001</v>
      </c>
    </row>
    <row r="193" spans="1:10" x14ac:dyDescent="0.2">
      <c r="A193">
        <v>2014</v>
      </c>
      <c r="B193" s="1">
        <v>41806</v>
      </c>
      <c r="C193">
        <v>0</v>
      </c>
      <c r="D193">
        <v>5</v>
      </c>
      <c r="E193">
        <v>36</v>
      </c>
      <c r="F193" s="3">
        <f t="shared" si="11"/>
        <v>0.1388888888888889</v>
      </c>
      <c r="G193">
        <v>2</v>
      </c>
      <c r="H193" s="3">
        <f t="shared" si="6"/>
        <v>0.4</v>
      </c>
      <c r="I193">
        <v>0</v>
      </c>
      <c r="J193" s="3">
        <v>0.17199999999999999</v>
      </c>
    </row>
    <row r="194" spans="1:10" x14ac:dyDescent="0.2">
      <c r="A194">
        <v>2014</v>
      </c>
      <c r="B194" s="1">
        <v>41811</v>
      </c>
      <c r="C194">
        <v>1</v>
      </c>
      <c r="D194">
        <v>7</v>
      </c>
      <c r="E194">
        <v>35</v>
      </c>
      <c r="F194" s="3">
        <f t="shared" si="11"/>
        <v>0.2</v>
      </c>
      <c r="G194">
        <v>4</v>
      </c>
      <c r="H194" s="3">
        <f t="shared" si="6"/>
        <v>0.5714285714285714</v>
      </c>
      <c r="I194">
        <v>0</v>
      </c>
      <c r="J194" s="3">
        <v>0.219</v>
      </c>
    </row>
    <row r="195" spans="1:10" x14ac:dyDescent="0.2">
      <c r="A195">
        <v>2014</v>
      </c>
      <c r="B195" s="1">
        <v>41817</v>
      </c>
      <c r="C195">
        <v>0</v>
      </c>
      <c r="D195">
        <v>9</v>
      </c>
      <c r="E195">
        <v>42</v>
      </c>
      <c r="F195" s="3">
        <f t="shared" si="11"/>
        <v>0.21428571428571427</v>
      </c>
      <c r="G195">
        <v>2</v>
      </c>
      <c r="H195" s="3">
        <f t="shared" si="6"/>
        <v>0.22222222222222221</v>
      </c>
      <c r="I195">
        <v>0</v>
      </c>
      <c r="J195" s="3">
        <v>0.23100000000000001</v>
      </c>
    </row>
    <row r="196" spans="1:10" x14ac:dyDescent="0.2">
      <c r="A196">
        <v>2014</v>
      </c>
      <c r="B196" s="1">
        <v>41822</v>
      </c>
      <c r="C196">
        <v>0</v>
      </c>
      <c r="D196">
        <v>5</v>
      </c>
      <c r="E196">
        <v>34</v>
      </c>
      <c r="F196" s="3">
        <f t="shared" si="11"/>
        <v>0.14705882352941177</v>
      </c>
      <c r="G196">
        <v>1</v>
      </c>
      <c r="H196" s="3">
        <f t="shared" si="6"/>
        <v>0.2</v>
      </c>
      <c r="I196">
        <v>1</v>
      </c>
      <c r="J196" s="3">
        <v>0.16700000000000001</v>
      </c>
    </row>
    <row r="197" spans="1:10" x14ac:dyDescent="0.2">
      <c r="A197">
        <v>2014</v>
      </c>
      <c r="B197" s="1">
        <v>41828</v>
      </c>
      <c r="C197">
        <v>1</v>
      </c>
      <c r="D197">
        <v>18</v>
      </c>
      <c r="E197">
        <v>42</v>
      </c>
      <c r="F197" s="3">
        <f t="shared" si="11"/>
        <v>0.42857142857142855</v>
      </c>
      <c r="G197">
        <v>8</v>
      </c>
      <c r="H197" s="3">
        <f t="shared" si="6"/>
        <v>0.44444444444444442</v>
      </c>
      <c r="I197">
        <v>1</v>
      </c>
      <c r="J197" s="3">
        <v>0.45</v>
      </c>
    </row>
    <row r="198" spans="1:10" x14ac:dyDescent="0.2">
      <c r="A198">
        <v>2014</v>
      </c>
      <c r="B198" s="1">
        <v>41833</v>
      </c>
      <c r="C198">
        <v>1</v>
      </c>
      <c r="D198">
        <v>15</v>
      </c>
      <c r="E198">
        <v>45</v>
      </c>
      <c r="F198" s="3">
        <f t="shared" si="11"/>
        <v>0.33333333333333331</v>
      </c>
      <c r="G198">
        <v>9</v>
      </c>
      <c r="H198" s="3">
        <f t="shared" si="6"/>
        <v>0.6</v>
      </c>
      <c r="I198">
        <v>0</v>
      </c>
      <c r="J198" s="3">
        <v>0.39500000000000002</v>
      </c>
    </row>
    <row r="199" spans="1:10" x14ac:dyDescent="0.2">
      <c r="A199">
        <v>2014</v>
      </c>
      <c r="B199" s="1">
        <v>41842</v>
      </c>
      <c r="C199">
        <v>1</v>
      </c>
      <c r="D199">
        <v>6</v>
      </c>
      <c r="E199">
        <v>36</v>
      </c>
      <c r="F199" s="3">
        <f t="shared" si="11"/>
        <v>0.16666666666666666</v>
      </c>
      <c r="G199">
        <v>3</v>
      </c>
      <c r="H199" s="3">
        <f t="shared" si="6"/>
        <v>0.5</v>
      </c>
      <c r="I199">
        <v>0</v>
      </c>
      <c r="J199" s="3">
        <v>0.19400000000000001</v>
      </c>
    </row>
    <row r="200" spans="1:10" x14ac:dyDescent="0.2">
      <c r="A200">
        <v>2014</v>
      </c>
      <c r="B200" s="1">
        <v>41847</v>
      </c>
      <c r="C200">
        <v>1</v>
      </c>
      <c r="D200">
        <v>7</v>
      </c>
      <c r="E200">
        <v>36</v>
      </c>
      <c r="F200" s="3">
        <f t="shared" si="11"/>
        <v>0.19444444444444445</v>
      </c>
      <c r="G200">
        <v>2</v>
      </c>
      <c r="H200" s="3">
        <f t="shared" si="6"/>
        <v>0.2857142857142857</v>
      </c>
      <c r="I200">
        <v>0</v>
      </c>
      <c r="J200" s="3">
        <v>0.21199999999999999</v>
      </c>
    </row>
    <row r="201" spans="1:10" x14ac:dyDescent="0.2">
      <c r="A201">
        <v>2014</v>
      </c>
      <c r="B201" s="1">
        <v>41853</v>
      </c>
      <c r="C201">
        <v>1</v>
      </c>
      <c r="D201">
        <v>4</v>
      </c>
      <c r="E201">
        <v>29</v>
      </c>
      <c r="F201" s="3">
        <f t="shared" si="11"/>
        <v>0.13793103448275862</v>
      </c>
      <c r="G201">
        <v>4</v>
      </c>
      <c r="H201" s="3">
        <f t="shared" si="6"/>
        <v>1</v>
      </c>
      <c r="I201">
        <v>0</v>
      </c>
      <c r="J201" s="3">
        <v>0.14799999999999999</v>
      </c>
    </row>
    <row r="202" spans="1:10" x14ac:dyDescent="0.2">
      <c r="A202">
        <v>2014</v>
      </c>
      <c r="B202" s="1">
        <v>41858</v>
      </c>
      <c r="C202">
        <v>0</v>
      </c>
      <c r="D202">
        <v>9</v>
      </c>
      <c r="E202">
        <v>50</v>
      </c>
      <c r="F202" s="3">
        <f t="shared" si="11"/>
        <v>0.18</v>
      </c>
      <c r="G202">
        <v>3</v>
      </c>
      <c r="H202" s="3">
        <f t="shared" si="6"/>
        <v>0.33333333333333331</v>
      </c>
      <c r="I202">
        <v>1</v>
      </c>
      <c r="J202" s="3">
        <v>0.19600000000000001</v>
      </c>
    </row>
    <row r="203" spans="1:10" x14ac:dyDescent="0.2">
      <c r="A203">
        <v>2014</v>
      </c>
      <c r="B203" s="1">
        <v>41874</v>
      </c>
      <c r="C203">
        <v>0</v>
      </c>
      <c r="D203">
        <v>12</v>
      </c>
      <c r="E203">
        <v>39</v>
      </c>
      <c r="F203" s="3">
        <f t="shared" si="11"/>
        <v>0.30769230769230771</v>
      </c>
      <c r="G203">
        <v>4</v>
      </c>
      <c r="H203" s="3">
        <f t="shared" si="6"/>
        <v>0.33333333333333331</v>
      </c>
      <c r="I203">
        <v>1</v>
      </c>
      <c r="J203" s="3">
        <v>0.316</v>
      </c>
    </row>
    <row r="204" spans="1:10" x14ac:dyDescent="0.2">
      <c r="A204">
        <v>2014</v>
      </c>
      <c r="B204" s="1">
        <v>41880</v>
      </c>
      <c r="C204">
        <v>1</v>
      </c>
      <c r="D204">
        <v>4</v>
      </c>
      <c r="E204">
        <v>32</v>
      </c>
      <c r="F204" s="3">
        <f t="shared" si="11"/>
        <v>0.125</v>
      </c>
      <c r="G204">
        <v>4</v>
      </c>
      <c r="H204" s="3">
        <f t="shared" si="6"/>
        <v>1</v>
      </c>
      <c r="I204">
        <v>0</v>
      </c>
      <c r="J204" s="3">
        <v>0.14299999999999999</v>
      </c>
    </row>
    <row r="205" spans="1:10" x14ac:dyDescent="0.2">
      <c r="A205">
        <v>2014</v>
      </c>
      <c r="B205" s="1">
        <v>41885</v>
      </c>
      <c r="C205">
        <v>1</v>
      </c>
      <c r="D205">
        <v>9</v>
      </c>
      <c r="E205">
        <v>41</v>
      </c>
      <c r="F205" s="3">
        <f t="shared" si="11"/>
        <v>0.21951219512195122</v>
      </c>
      <c r="G205">
        <v>4</v>
      </c>
      <c r="H205" s="3">
        <f t="shared" si="6"/>
        <v>0.44444444444444442</v>
      </c>
      <c r="I205">
        <v>0</v>
      </c>
      <c r="J205" s="3">
        <v>0.26500000000000001</v>
      </c>
    </row>
    <row r="206" spans="1:10" x14ac:dyDescent="0.2">
      <c r="A206">
        <v>2014</v>
      </c>
      <c r="B206" s="1">
        <v>41891</v>
      </c>
      <c r="C206">
        <v>1</v>
      </c>
      <c r="D206">
        <v>7</v>
      </c>
      <c r="E206">
        <v>33</v>
      </c>
      <c r="F206" s="3">
        <f t="shared" si="11"/>
        <v>0.21212121212121213</v>
      </c>
      <c r="G206">
        <v>2</v>
      </c>
      <c r="H206" s="3">
        <f t="shared" si="6"/>
        <v>0.2857142857142857</v>
      </c>
      <c r="I206">
        <v>0</v>
      </c>
      <c r="J206" s="3">
        <v>0.23300000000000001</v>
      </c>
    </row>
    <row r="207" spans="1:10" x14ac:dyDescent="0.2">
      <c r="A207">
        <v>2014</v>
      </c>
      <c r="B207" s="1">
        <v>41897</v>
      </c>
      <c r="C207">
        <v>0</v>
      </c>
      <c r="D207">
        <v>7</v>
      </c>
      <c r="E207">
        <v>40</v>
      </c>
      <c r="F207" s="3">
        <f t="shared" si="11"/>
        <v>0.17499999999999999</v>
      </c>
      <c r="G207">
        <v>5</v>
      </c>
      <c r="H207" s="3">
        <f t="shared" si="6"/>
        <v>0.7142857142857143</v>
      </c>
      <c r="I207">
        <v>0</v>
      </c>
      <c r="J207" s="3">
        <v>0.20599999999999999</v>
      </c>
    </row>
    <row r="208" spans="1:10" x14ac:dyDescent="0.2">
      <c r="A208" s="6">
        <v>2014</v>
      </c>
      <c r="B208" s="7">
        <v>41903</v>
      </c>
      <c r="C208" s="6">
        <v>1</v>
      </c>
      <c r="D208" s="6">
        <v>14</v>
      </c>
      <c r="E208" s="6">
        <v>45</v>
      </c>
      <c r="F208" s="8">
        <f t="shared" si="11"/>
        <v>0.31111111111111112</v>
      </c>
      <c r="G208" s="6">
        <v>10</v>
      </c>
      <c r="H208" s="8">
        <f t="shared" si="6"/>
        <v>0.7142857142857143</v>
      </c>
      <c r="I208" s="6">
        <v>1</v>
      </c>
      <c r="J208" s="6">
        <v>0.36799999999999999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93D8-3104-2F41-9EA5-7F9ACEACFBD2}">
  <dimension ref="A1:T204"/>
  <sheetViews>
    <sheetView topLeftCell="A188" workbookViewId="0">
      <selection activeCell="K204" sqref="K204"/>
    </sheetView>
  </sheetViews>
  <sheetFormatPr baseColWidth="10" defaultRowHeight="16" x14ac:dyDescent="0.2"/>
  <cols>
    <col min="1" max="4" width="10.83203125" style="16"/>
    <col min="5" max="5" width="15" style="16" bestFit="1" customWidth="1"/>
    <col min="6" max="6" width="13.83203125" style="16" bestFit="1" customWidth="1"/>
    <col min="7" max="9" width="10.83203125" style="16"/>
    <col min="11" max="11" width="31.1640625" bestFit="1" customWidth="1"/>
  </cols>
  <sheetData>
    <row r="1" spans="1:20" x14ac:dyDescent="0.2">
      <c r="A1" s="20" t="s">
        <v>2</v>
      </c>
      <c r="B1" s="20" t="s">
        <v>0</v>
      </c>
      <c r="C1" s="20" t="s">
        <v>4</v>
      </c>
      <c r="D1" s="20" t="s">
        <v>1</v>
      </c>
      <c r="E1" s="20" t="s">
        <v>5</v>
      </c>
      <c r="F1" s="20" t="s">
        <v>7</v>
      </c>
      <c r="G1" s="20" t="s">
        <v>3</v>
      </c>
      <c r="H1" s="20" t="s">
        <v>8</v>
      </c>
      <c r="I1" s="20" t="s">
        <v>38</v>
      </c>
    </row>
    <row r="2" spans="1:20" x14ac:dyDescent="0.2">
      <c r="A2" s="16">
        <v>2014</v>
      </c>
      <c r="B2" s="17">
        <v>41774</v>
      </c>
      <c r="C2" s="16">
        <v>0</v>
      </c>
      <c r="D2" s="16">
        <v>3</v>
      </c>
      <c r="E2" s="16">
        <v>33</v>
      </c>
      <c r="F2" s="18">
        <f>D2/E2</f>
        <v>9.0909090909090912E-2</v>
      </c>
      <c r="G2" s="16">
        <v>0</v>
      </c>
      <c r="H2" s="18">
        <f t="shared" ref="H2:H33" si="0">G2/D2</f>
        <v>0</v>
      </c>
      <c r="I2" s="16">
        <v>0</v>
      </c>
      <c r="K2" s="9" t="s">
        <v>43</v>
      </c>
      <c r="L2" t="s">
        <v>66</v>
      </c>
    </row>
    <row r="3" spans="1:20" x14ac:dyDescent="0.2">
      <c r="A3" s="16">
        <v>2014</v>
      </c>
      <c r="B3" s="17">
        <v>41780</v>
      </c>
      <c r="C3" s="16">
        <v>0</v>
      </c>
      <c r="D3" s="16">
        <v>13</v>
      </c>
      <c r="E3" s="16">
        <v>39</v>
      </c>
      <c r="F3" s="18">
        <f t="shared" ref="F3:F33" si="1">D3/E3</f>
        <v>0.33333333333333331</v>
      </c>
      <c r="G3" s="16">
        <v>5</v>
      </c>
      <c r="H3" s="18">
        <f t="shared" si="0"/>
        <v>0.38461538461538464</v>
      </c>
      <c r="I3" s="16">
        <v>0</v>
      </c>
    </row>
    <row r="4" spans="1:20" x14ac:dyDescent="0.2">
      <c r="A4" s="16">
        <v>2014</v>
      </c>
      <c r="B4" s="17">
        <v>41785</v>
      </c>
      <c r="C4" s="16">
        <v>0</v>
      </c>
      <c r="D4" s="16">
        <v>8</v>
      </c>
      <c r="E4" s="16">
        <v>36</v>
      </c>
      <c r="F4" s="18">
        <f t="shared" si="1"/>
        <v>0.22222222222222221</v>
      </c>
      <c r="G4" s="16">
        <v>3</v>
      </c>
      <c r="H4" s="18">
        <f t="shared" si="0"/>
        <v>0.375</v>
      </c>
      <c r="I4" s="16">
        <v>0</v>
      </c>
      <c r="L4">
        <v>2014</v>
      </c>
      <c r="M4">
        <v>2015</v>
      </c>
      <c r="N4">
        <v>2016</v>
      </c>
      <c r="O4">
        <v>2017</v>
      </c>
      <c r="P4">
        <v>2018</v>
      </c>
      <c r="Q4">
        <v>2019</v>
      </c>
      <c r="R4">
        <v>2020</v>
      </c>
      <c r="S4">
        <v>2021</v>
      </c>
      <c r="T4">
        <v>2022</v>
      </c>
    </row>
    <row r="5" spans="1:20" x14ac:dyDescent="0.2">
      <c r="A5" s="16">
        <v>2014</v>
      </c>
      <c r="B5" s="17">
        <v>41790</v>
      </c>
      <c r="C5" s="16">
        <v>1</v>
      </c>
      <c r="D5" s="16">
        <v>11</v>
      </c>
      <c r="E5" s="16">
        <v>58</v>
      </c>
      <c r="F5" s="18">
        <f t="shared" si="1"/>
        <v>0.18965517241379309</v>
      </c>
      <c r="G5" s="16">
        <v>5</v>
      </c>
      <c r="H5" s="18">
        <f t="shared" si="0"/>
        <v>0.45454545454545453</v>
      </c>
      <c r="I5" s="16">
        <v>0</v>
      </c>
      <c r="K5" t="s">
        <v>67</v>
      </c>
      <c r="L5" s="3">
        <f>AVERAGE(H19:H23)</f>
        <v>0.40507936507936504</v>
      </c>
      <c r="M5" s="3">
        <f>AVERAGE(H24:H48)</f>
        <v>0.47527727827727823</v>
      </c>
      <c r="N5" s="3">
        <v>0.37017704517704519</v>
      </c>
      <c r="O5" s="3">
        <v>0.42307692307692307</v>
      </c>
      <c r="P5" s="3">
        <v>0.23838383838383836</v>
      </c>
      <c r="Q5" s="3">
        <v>0.6346681096681096</v>
      </c>
      <c r="R5" s="3">
        <v>0.66339869281045749</v>
      </c>
      <c r="S5" s="3">
        <v>0.40384615384615385</v>
      </c>
      <c r="T5" s="3">
        <v>0.27777777777777773</v>
      </c>
    </row>
    <row r="6" spans="1:20" x14ac:dyDescent="0.2">
      <c r="A6" s="16">
        <v>2014</v>
      </c>
      <c r="B6" s="17">
        <v>41795</v>
      </c>
      <c r="C6" s="16">
        <v>0</v>
      </c>
      <c r="D6" s="16">
        <v>8</v>
      </c>
      <c r="E6" s="16">
        <v>42</v>
      </c>
      <c r="F6" s="18">
        <f t="shared" si="1"/>
        <v>0.19047619047619047</v>
      </c>
      <c r="G6" s="16">
        <v>4</v>
      </c>
      <c r="H6" s="18">
        <f t="shared" si="0"/>
        <v>0.5</v>
      </c>
      <c r="I6" s="16">
        <v>0</v>
      </c>
      <c r="K6" t="s">
        <v>68</v>
      </c>
      <c r="L6" s="3">
        <f>AVERAGE(H2:H18)</f>
        <v>0.46693943311590375</v>
      </c>
      <c r="M6" s="3">
        <f>AVERAGE(H49:H53)</f>
        <v>0.32787878787878788</v>
      </c>
      <c r="N6" s="3">
        <v>0.47156862745098033</v>
      </c>
      <c r="O6" s="3">
        <v>0.5044193137443912</v>
      </c>
      <c r="P6" s="3">
        <v>0.46840857555143262</v>
      </c>
      <c r="Q6" s="3">
        <v>0.40083443126921386</v>
      </c>
      <c r="R6" s="3">
        <v>0.48158590921748817</v>
      </c>
      <c r="S6" s="3">
        <v>0.48342170649862959</v>
      </c>
      <c r="T6" s="3">
        <v>0.40747549019607843</v>
      </c>
    </row>
    <row r="7" spans="1:20" x14ac:dyDescent="0.2">
      <c r="A7" s="16">
        <v>2014</v>
      </c>
      <c r="B7" s="17">
        <v>41801</v>
      </c>
      <c r="C7" s="16">
        <v>0</v>
      </c>
      <c r="D7" s="16">
        <v>5</v>
      </c>
      <c r="E7" s="16">
        <v>32</v>
      </c>
      <c r="F7" s="18">
        <f t="shared" si="1"/>
        <v>0.15625</v>
      </c>
      <c r="G7" s="16">
        <v>1</v>
      </c>
      <c r="H7" s="18">
        <f t="shared" si="0"/>
        <v>0.2</v>
      </c>
      <c r="I7" s="16">
        <v>0</v>
      </c>
    </row>
    <row r="8" spans="1:20" x14ac:dyDescent="0.2">
      <c r="A8" s="16">
        <v>2014</v>
      </c>
      <c r="B8" s="17">
        <v>41806</v>
      </c>
      <c r="C8" s="16">
        <v>0</v>
      </c>
      <c r="D8" s="16">
        <v>5</v>
      </c>
      <c r="E8" s="16">
        <v>36</v>
      </c>
      <c r="F8" s="18">
        <f t="shared" si="1"/>
        <v>0.1388888888888889</v>
      </c>
      <c r="G8" s="16">
        <v>2</v>
      </c>
      <c r="H8" s="18">
        <f t="shared" si="0"/>
        <v>0.4</v>
      </c>
      <c r="I8" s="16">
        <v>0</v>
      </c>
    </row>
    <row r="9" spans="1:20" x14ac:dyDescent="0.2">
      <c r="A9" s="16">
        <v>2014</v>
      </c>
      <c r="B9" s="17">
        <v>41811</v>
      </c>
      <c r="C9" s="16">
        <v>1</v>
      </c>
      <c r="D9" s="16">
        <v>7</v>
      </c>
      <c r="E9" s="16">
        <v>35</v>
      </c>
      <c r="F9" s="18">
        <f t="shared" si="1"/>
        <v>0.2</v>
      </c>
      <c r="G9" s="16">
        <v>4</v>
      </c>
      <c r="H9" s="18">
        <f t="shared" si="0"/>
        <v>0.5714285714285714</v>
      </c>
      <c r="I9" s="16">
        <v>0</v>
      </c>
      <c r="K9" s="9" t="s">
        <v>20</v>
      </c>
    </row>
    <row r="10" spans="1:20" x14ac:dyDescent="0.2">
      <c r="A10" s="16">
        <v>2014</v>
      </c>
      <c r="B10" s="17">
        <v>41817</v>
      </c>
      <c r="C10" s="16">
        <v>0</v>
      </c>
      <c r="D10" s="16">
        <v>9</v>
      </c>
      <c r="E10" s="16">
        <v>42</v>
      </c>
      <c r="F10" s="18">
        <f t="shared" si="1"/>
        <v>0.21428571428571427</v>
      </c>
      <c r="G10" s="16">
        <v>2</v>
      </c>
      <c r="H10" s="18">
        <f t="shared" si="0"/>
        <v>0.22222222222222221</v>
      </c>
      <c r="I10" s="16">
        <v>0</v>
      </c>
      <c r="K10" s="9"/>
    </row>
    <row r="11" spans="1:20" x14ac:dyDescent="0.2">
      <c r="A11" s="16">
        <v>2014</v>
      </c>
      <c r="B11" s="17">
        <v>41833</v>
      </c>
      <c r="C11" s="16">
        <v>1</v>
      </c>
      <c r="D11" s="16">
        <v>15</v>
      </c>
      <c r="E11" s="16">
        <v>45</v>
      </c>
      <c r="F11" s="18">
        <f t="shared" si="1"/>
        <v>0.33333333333333331</v>
      </c>
      <c r="G11" s="16">
        <v>9</v>
      </c>
      <c r="H11" s="18">
        <f t="shared" si="0"/>
        <v>0.6</v>
      </c>
      <c r="I11" s="16">
        <v>0</v>
      </c>
      <c r="K11" s="9" t="s">
        <v>69</v>
      </c>
    </row>
    <row r="12" spans="1:20" x14ac:dyDescent="0.2">
      <c r="A12" s="16">
        <v>2014</v>
      </c>
      <c r="B12" s="17">
        <v>41842</v>
      </c>
      <c r="C12" s="16">
        <v>1</v>
      </c>
      <c r="D12" s="16">
        <v>6</v>
      </c>
      <c r="E12" s="16">
        <v>36</v>
      </c>
      <c r="F12" s="18">
        <f t="shared" si="1"/>
        <v>0.16666666666666666</v>
      </c>
      <c r="G12" s="16">
        <v>3</v>
      </c>
      <c r="H12" s="18">
        <f t="shared" si="0"/>
        <v>0.5</v>
      </c>
      <c r="I12" s="16">
        <v>0</v>
      </c>
      <c r="K12" s="9"/>
    </row>
    <row r="13" spans="1:20" x14ac:dyDescent="0.2">
      <c r="A13" s="16">
        <v>2014</v>
      </c>
      <c r="B13" s="17">
        <v>41847</v>
      </c>
      <c r="C13" s="16">
        <v>1</v>
      </c>
      <c r="D13" s="16">
        <v>7</v>
      </c>
      <c r="E13" s="16">
        <v>36</v>
      </c>
      <c r="F13" s="18">
        <f t="shared" si="1"/>
        <v>0.19444444444444445</v>
      </c>
      <c r="G13" s="16">
        <v>2</v>
      </c>
      <c r="H13" s="18">
        <f t="shared" si="0"/>
        <v>0.2857142857142857</v>
      </c>
      <c r="I13" s="16">
        <v>0</v>
      </c>
      <c r="K13" s="3">
        <f>TTEST(L5:T5,L6:T6,2,2)</f>
        <v>0.79625462842312411</v>
      </c>
      <c r="M13" t="s">
        <v>44</v>
      </c>
    </row>
    <row r="14" spans="1:20" x14ac:dyDescent="0.2">
      <c r="A14" s="16">
        <v>2014</v>
      </c>
      <c r="B14" s="17">
        <v>41853</v>
      </c>
      <c r="C14" s="16">
        <v>1</v>
      </c>
      <c r="D14" s="16">
        <v>4</v>
      </c>
      <c r="E14" s="16">
        <v>29</v>
      </c>
      <c r="F14" s="18">
        <f t="shared" si="1"/>
        <v>0.13793103448275862</v>
      </c>
      <c r="G14" s="16">
        <v>4</v>
      </c>
      <c r="H14" s="18">
        <f t="shared" si="0"/>
        <v>1</v>
      </c>
      <c r="I14" s="16">
        <v>0</v>
      </c>
    </row>
    <row r="15" spans="1:20" x14ac:dyDescent="0.2">
      <c r="A15" s="16">
        <v>2014</v>
      </c>
      <c r="B15" s="17">
        <v>41880</v>
      </c>
      <c r="C15" s="16">
        <v>1</v>
      </c>
      <c r="D15" s="16">
        <v>4</v>
      </c>
      <c r="E15" s="16">
        <v>32</v>
      </c>
      <c r="F15" s="18">
        <f t="shared" si="1"/>
        <v>0.125</v>
      </c>
      <c r="G15" s="16">
        <v>4</v>
      </c>
      <c r="H15" s="18">
        <f t="shared" si="0"/>
        <v>1</v>
      </c>
      <c r="I15" s="16">
        <v>0</v>
      </c>
      <c r="K15" s="9" t="s">
        <v>45</v>
      </c>
    </row>
    <row r="16" spans="1:20" x14ac:dyDescent="0.2">
      <c r="A16" s="16">
        <v>2014</v>
      </c>
      <c r="B16" s="17">
        <v>41885</v>
      </c>
      <c r="C16" s="16">
        <v>1</v>
      </c>
      <c r="D16" s="16">
        <v>9</v>
      </c>
      <c r="E16" s="16">
        <v>41</v>
      </c>
      <c r="F16" s="18">
        <f t="shared" si="1"/>
        <v>0.21951219512195122</v>
      </c>
      <c r="G16" s="16">
        <v>4</v>
      </c>
      <c r="H16" s="18">
        <f t="shared" si="0"/>
        <v>0.44444444444444442</v>
      </c>
      <c r="I16" s="16">
        <v>0</v>
      </c>
    </row>
    <row r="17" spans="1:13" x14ac:dyDescent="0.2">
      <c r="A17" s="16">
        <v>2014</v>
      </c>
      <c r="B17" s="17">
        <v>41891</v>
      </c>
      <c r="C17" s="16">
        <v>1</v>
      </c>
      <c r="D17" s="16">
        <v>7</v>
      </c>
      <c r="E17" s="16">
        <v>33</v>
      </c>
      <c r="F17" s="18">
        <f t="shared" si="1"/>
        <v>0.21212121212121213</v>
      </c>
      <c r="G17" s="16">
        <v>2</v>
      </c>
      <c r="H17" s="18">
        <f t="shared" si="0"/>
        <v>0.2857142857142857</v>
      </c>
      <c r="I17" s="16">
        <v>0</v>
      </c>
      <c r="K17" s="3">
        <f>TTEST(L5:Q5,L6:Q6,2,2)</f>
        <v>0.79829485421247071</v>
      </c>
      <c r="M17" t="s">
        <v>46</v>
      </c>
    </row>
    <row r="18" spans="1:13" x14ac:dyDescent="0.2">
      <c r="A18" s="16">
        <v>2014</v>
      </c>
      <c r="B18" s="17">
        <v>41897</v>
      </c>
      <c r="C18" s="16">
        <v>0</v>
      </c>
      <c r="D18" s="16">
        <v>7</v>
      </c>
      <c r="E18" s="16">
        <v>40</v>
      </c>
      <c r="F18" s="18">
        <f t="shared" si="1"/>
        <v>0.17499999999999999</v>
      </c>
      <c r="G18" s="16">
        <v>5</v>
      </c>
      <c r="H18" s="18">
        <f t="shared" si="0"/>
        <v>0.7142857142857143</v>
      </c>
      <c r="I18" s="16">
        <v>0</v>
      </c>
    </row>
    <row r="19" spans="1:13" x14ac:dyDescent="0.2">
      <c r="A19" s="16">
        <v>2014</v>
      </c>
      <c r="B19" s="17">
        <v>41822</v>
      </c>
      <c r="C19" s="16">
        <v>0</v>
      </c>
      <c r="D19" s="16">
        <v>5</v>
      </c>
      <c r="E19" s="16">
        <v>34</v>
      </c>
      <c r="F19" s="18">
        <f t="shared" si="1"/>
        <v>0.14705882352941177</v>
      </c>
      <c r="G19" s="16">
        <v>1</v>
      </c>
      <c r="H19" s="18">
        <f t="shared" si="0"/>
        <v>0.2</v>
      </c>
      <c r="I19" s="16">
        <v>1</v>
      </c>
    </row>
    <row r="20" spans="1:13" x14ac:dyDescent="0.2">
      <c r="A20" s="16">
        <v>2014</v>
      </c>
      <c r="B20" s="17">
        <v>41828</v>
      </c>
      <c r="C20" s="16">
        <v>1</v>
      </c>
      <c r="D20" s="16">
        <v>18</v>
      </c>
      <c r="E20" s="16">
        <v>42</v>
      </c>
      <c r="F20" s="18">
        <f t="shared" si="1"/>
        <v>0.42857142857142855</v>
      </c>
      <c r="G20" s="16">
        <v>8</v>
      </c>
      <c r="H20" s="18">
        <f t="shared" si="0"/>
        <v>0.44444444444444442</v>
      </c>
      <c r="I20" s="16">
        <v>1</v>
      </c>
    </row>
    <row r="21" spans="1:13" x14ac:dyDescent="0.2">
      <c r="A21" s="16">
        <v>2014</v>
      </c>
      <c r="B21" s="17">
        <v>41858</v>
      </c>
      <c r="C21" s="16">
        <v>0</v>
      </c>
      <c r="D21" s="16">
        <v>9</v>
      </c>
      <c r="E21" s="16">
        <v>50</v>
      </c>
      <c r="F21" s="18">
        <f t="shared" si="1"/>
        <v>0.18</v>
      </c>
      <c r="G21" s="16">
        <v>3</v>
      </c>
      <c r="H21" s="18">
        <f t="shared" si="0"/>
        <v>0.33333333333333331</v>
      </c>
      <c r="I21" s="16">
        <v>1</v>
      </c>
    </row>
    <row r="22" spans="1:13" x14ac:dyDescent="0.2">
      <c r="A22" s="16">
        <v>2014</v>
      </c>
      <c r="B22" s="17">
        <v>41874</v>
      </c>
      <c r="C22" s="16">
        <v>0</v>
      </c>
      <c r="D22" s="16">
        <v>12</v>
      </c>
      <c r="E22" s="16">
        <v>39</v>
      </c>
      <c r="F22" s="18">
        <f t="shared" si="1"/>
        <v>0.30769230769230771</v>
      </c>
      <c r="G22" s="16">
        <v>4</v>
      </c>
      <c r="H22" s="18">
        <f t="shared" si="0"/>
        <v>0.33333333333333331</v>
      </c>
      <c r="I22" s="16">
        <v>1</v>
      </c>
    </row>
    <row r="23" spans="1:13" x14ac:dyDescent="0.2">
      <c r="A23" s="6">
        <v>2014</v>
      </c>
      <c r="B23" s="7">
        <v>41903</v>
      </c>
      <c r="C23" s="6">
        <v>1</v>
      </c>
      <c r="D23" s="6">
        <v>14</v>
      </c>
      <c r="E23" s="6">
        <v>45</v>
      </c>
      <c r="F23" s="8">
        <f t="shared" si="1"/>
        <v>0.31111111111111112</v>
      </c>
      <c r="G23" s="6">
        <v>10</v>
      </c>
      <c r="H23" s="8">
        <f t="shared" si="0"/>
        <v>0.7142857142857143</v>
      </c>
      <c r="I23" s="6">
        <v>1</v>
      </c>
    </row>
    <row r="24" spans="1:13" x14ac:dyDescent="0.2">
      <c r="A24" s="16">
        <v>2015</v>
      </c>
      <c r="B24" s="17">
        <v>42107</v>
      </c>
      <c r="C24" s="16">
        <v>1</v>
      </c>
      <c r="D24" s="16">
        <v>6</v>
      </c>
      <c r="E24" s="16">
        <v>35</v>
      </c>
      <c r="F24" s="18">
        <f t="shared" si="1"/>
        <v>0.17142857142857143</v>
      </c>
      <c r="G24" s="16">
        <v>2</v>
      </c>
      <c r="H24" s="18">
        <f t="shared" si="0"/>
        <v>0.33333333333333331</v>
      </c>
      <c r="I24" s="15">
        <v>0</v>
      </c>
    </row>
    <row r="25" spans="1:13" x14ac:dyDescent="0.2">
      <c r="A25" s="16">
        <v>2015</v>
      </c>
      <c r="B25" s="17">
        <v>42112</v>
      </c>
      <c r="C25" s="16">
        <v>1</v>
      </c>
      <c r="D25" s="16">
        <v>10</v>
      </c>
      <c r="E25" s="16">
        <v>34</v>
      </c>
      <c r="F25" s="18">
        <f t="shared" si="1"/>
        <v>0.29411764705882354</v>
      </c>
      <c r="G25" s="16">
        <v>5</v>
      </c>
      <c r="H25" s="18">
        <f t="shared" si="0"/>
        <v>0.5</v>
      </c>
      <c r="I25" s="15">
        <v>0</v>
      </c>
    </row>
    <row r="26" spans="1:13" x14ac:dyDescent="0.2">
      <c r="A26" s="16">
        <v>2015</v>
      </c>
      <c r="B26" s="17">
        <v>42118</v>
      </c>
      <c r="C26" s="16">
        <v>0</v>
      </c>
      <c r="D26" s="16">
        <v>5</v>
      </c>
      <c r="E26" s="16">
        <v>32</v>
      </c>
      <c r="F26" s="18">
        <f t="shared" si="1"/>
        <v>0.15625</v>
      </c>
      <c r="G26" s="16">
        <v>1</v>
      </c>
      <c r="H26" s="18">
        <f t="shared" si="0"/>
        <v>0.2</v>
      </c>
      <c r="I26" s="15">
        <v>0</v>
      </c>
    </row>
    <row r="27" spans="1:13" x14ac:dyDescent="0.2">
      <c r="A27" s="16">
        <v>2015</v>
      </c>
      <c r="B27" s="17">
        <v>42124</v>
      </c>
      <c r="C27" s="16">
        <v>0</v>
      </c>
      <c r="D27" s="16">
        <v>7</v>
      </c>
      <c r="E27" s="16">
        <v>35</v>
      </c>
      <c r="F27" s="18">
        <f t="shared" si="1"/>
        <v>0.2</v>
      </c>
      <c r="G27" s="16">
        <v>2</v>
      </c>
      <c r="H27" s="18">
        <f t="shared" si="0"/>
        <v>0.2857142857142857</v>
      </c>
      <c r="I27" s="15">
        <v>0</v>
      </c>
    </row>
    <row r="28" spans="1:13" x14ac:dyDescent="0.2">
      <c r="A28" s="16">
        <v>2015</v>
      </c>
      <c r="B28" s="17">
        <v>42130</v>
      </c>
      <c r="C28" s="16">
        <v>1</v>
      </c>
      <c r="D28" s="16">
        <v>7</v>
      </c>
      <c r="E28" s="16">
        <v>34</v>
      </c>
      <c r="F28" s="18">
        <f t="shared" si="1"/>
        <v>0.20588235294117646</v>
      </c>
      <c r="G28" s="16">
        <v>5</v>
      </c>
      <c r="H28" s="18">
        <f t="shared" si="0"/>
        <v>0.7142857142857143</v>
      </c>
      <c r="I28" s="15">
        <v>0</v>
      </c>
    </row>
    <row r="29" spans="1:13" x14ac:dyDescent="0.2">
      <c r="A29" s="16">
        <v>2015</v>
      </c>
      <c r="B29" s="17">
        <v>42140</v>
      </c>
      <c r="C29" s="16">
        <v>1</v>
      </c>
      <c r="D29" s="16">
        <v>16</v>
      </c>
      <c r="E29" s="16">
        <v>42</v>
      </c>
      <c r="F29" s="18">
        <f t="shared" si="1"/>
        <v>0.38095238095238093</v>
      </c>
      <c r="G29" s="16">
        <v>14</v>
      </c>
      <c r="H29" s="18">
        <f t="shared" si="0"/>
        <v>0.875</v>
      </c>
      <c r="I29" s="15">
        <v>0</v>
      </c>
    </row>
    <row r="30" spans="1:13" x14ac:dyDescent="0.2">
      <c r="A30" s="16">
        <v>2015</v>
      </c>
      <c r="B30" s="17">
        <v>42145</v>
      </c>
      <c r="C30" s="16">
        <v>1</v>
      </c>
      <c r="D30" s="16">
        <v>9</v>
      </c>
      <c r="E30" s="16">
        <v>35</v>
      </c>
      <c r="F30" s="18">
        <f t="shared" si="1"/>
        <v>0.25714285714285712</v>
      </c>
      <c r="G30" s="16">
        <v>5</v>
      </c>
      <c r="H30" s="18">
        <f t="shared" si="0"/>
        <v>0.55555555555555558</v>
      </c>
      <c r="I30" s="15">
        <v>0</v>
      </c>
    </row>
    <row r="31" spans="1:13" x14ac:dyDescent="0.2">
      <c r="A31" s="16">
        <v>2015</v>
      </c>
      <c r="B31" s="17">
        <v>42150</v>
      </c>
      <c r="C31" s="16">
        <v>1</v>
      </c>
      <c r="D31" s="16">
        <v>9</v>
      </c>
      <c r="E31" s="16">
        <v>42</v>
      </c>
      <c r="F31" s="18">
        <f t="shared" si="1"/>
        <v>0.21428571428571427</v>
      </c>
      <c r="G31" s="16">
        <v>5</v>
      </c>
      <c r="H31" s="18">
        <f t="shared" si="0"/>
        <v>0.55555555555555558</v>
      </c>
      <c r="I31" s="15">
        <v>0</v>
      </c>
    </row>
    <row r="32" spans="1:13" x14ac:dyDescent="0.2">
      <c r="A32" s="16">
        <v>2015</v>
      </c>
      <c r="B32" s="17">
        <v>42156</v>
      </c>
      <c r="C32" s="16">
        <v>1</v>
      </c>
      <c r="D32" s="16">
        <v>13</v>
      </c>
      <c r="E32" s="16">
        <v>39</v>
      </c>
      <c r="F32" s="18">
        <f t="shared" si="1"/>
        <v>0.33333333333333331</v>
      </c>
      <c r="G32" s="16">
        <v>7</v>
      </c>
      <c r="H32" s="18">
        <f t="shared" si="0"/>
        <v>0.53846153846153844</v>
      </c>
      <c r="I32" s="15">
        <v>0</v>
      </c>
    </row>
    <row r="33" spans="1:9" x14ac:dyDescent="0.2">
      <c r="A33" s="16">
        <v>2015</v>
      </c>
      <c r="B33" s="17">
        <v>42162</v>
      </c>
      <c r="C33" s="16">
        <v>1</v>
      </c>
      <c r="D33" s="16">
        <v>11</v>
      </c>
      <c r="E33" s="16">
        <v>40</v>
      </c>
      <c r="F33" s="18">
        <f t="shared" si="1"/>
        <v>0.27500000000000002</v>
      </c>
      <c r="G33" s="16">
        <v>6</v>
      </c>
      <c r="H33" s="18">
        <f t="shared" si="0"/>
        <v>0.54545454545454541</v>
      </c>
      <c r="I33" s="15">
        <v>0</v>
      </c>
    </row>
    <row r="34" spans="1:9" x14ac:dyDescent="0.2">
      <c r="A34" s="16">
        <v>2015</v>
      </c>
      <c r="B34" s="17">
        <v>42174</v>
      </c>
      <c r="C34" s="16">
        <v>0</v>
      </c>
      <c r="D34" s="16">
        <v>6</v>
      </c>
      <c r="E34" s="16">
        <v>34</v>
      </c>
      <c r="F34" s="18">
        <f t="shared" ref="F34:F65" si="2">D34/E34</f>
        <v>0.17647058823529413</v>
      </c>
      <c r="G34" s="16">
        <v>1</v>
      </c>
      <c r="H34" s="18">
        <f t="shared" ref="H34:H65" si="3">G34/D34</f>
        <v>0.16666666666666666</v>
      </c>
      <c r="I34" s="15">
        <v>0</v>
      </c>
    </row>
    <row r="35" spans="1:9" x14ac:dyDescent="0.2">
      <c r="A35" s="16">
        <v>2015</v>
      </c>
      <c r="B35" s="17">
        <v>42180</v>
      </c>
      <c r="C35" s="16">
        <v>1</v>
      </c>
      <c r="D35" s="16">
        <v>10</v>
      </c>
      <c r="E35" s="16">
        <v>37</v>
      </c>
      <c r="F35" s="18">
        <f t="shared" si="2"/>
        <v>0.27027027027027029</v>
      </c>
      <c r="G35" s="16">
        <v>2</v>
      </c>
      <c r="H35" s="18">
        <f t="shared" si="3"/>
        <v>0.2</v>
      </c>
      <c r="I35" s="15">
        <v>0</v>
      </c>
    </row>
    <row r="36" spans="1:9" x14ac:dyDescent="0.2">
      <c r="A36" s="16">
        <v>2015</v>
      </c>
      <c r="B36" s="17">
        <v>42193</v>
      </c>
      <c r="C36" s="16">
        <v>1</v>
      </c>
      <c r="D36" s="16">
        <v>8</v>
      </c>
      <c r="E36" s="16">
        <v>37</v>
      </c>
      <c r="F36" s="18">
        <f t="shared" si="2"/>
        <v>0.21621621621621623</v>
      </c>
      <c r="G36" s="16">
        <v>4</v>
      </c>
      <c r="H36" s="18">
        <f t="shared" si="3"/>
        <v>0.5</v>
      </c>
      <c r="I36" s="15">
        <v>0</v>
      </c>
    </row>
    <row r="37" spans="1:9" x14ac:dyDescent="0.2">
      <c r="A37" s="16">
        <v>2015</v>
      </c>
      <c r="B37" s="17">
        <v>42206</v>
      </c>
      <c r="C37" s="16">
        <v>1</v>
      </c>
      <c r="D37" s="16">
        <v>10</v>
      </c>
      <c r="E37" s="16">
        <v>42</v>
      </c>
      <c r="F37" s="18">
        <f t="shared" si="2"/>
        <v>0.23809523809523808</v>
      </c>
      <c r="G37" s="16">
        <v>7</v>
      </c>
      <c r="H37" s="18">
        <f t="shared" si="3"/>
        <v>0.7</v>
      </c>
      <c r="I37" s="15">
        <v>0</v>
      </c>
    </row>
    <row r="38" spans="1:9" x14ac:dyDescent="0.2">
      <c r="A38" s="16">
        <v>2015</v>
      </c>
      <c r="B38" s="17">
        <v>42217</v>
      </c>
      <c r="C38" s="16">
        <v>1</v>
      </c>
      <c r="D38" s="16">
        <v>6</v>
      </c>
      <c r="E38" s="16">
        <v>33</v>
      </c>
      <c r="F38" s="18">
        <f t="shared" si="2"/>
        <v>0.18181818181818182</v>
      </c>
      <c r="G38" s="16">
        <v>3</v>
      </c>
      <c r="H38" s="18">
        <f t="shared" si="3"/>
        <v>0.5</v>
      </c>
      <c r="I38" s="15">
        <v>0</v>
      </c>
    </row>
    <row r="39" spans="1:9" x14ac:dyDescent="0.2">
      <c r="A39" s="16">
        <v>2015</v>
      </c>
      <c r="B39" s="17">
        <v>42223</v>
      </c>
      <c r="C39" s="16">
        <v>1</v>
      </c>
      <c r="D39" s="16">
        <v>8</v>
      </c>
      <c r="E39" s="16">
        <v>37</v>
      </c>
      <c r="F39" s="18">
        <f t="shared" si="2"/>
        <v>0.21621621621621623</v>
      </c>
      <c r="G39" s="16">
        <v>4</v>
      </c>
      <c r="H39" s="18">
        <f t="shared" si="3"/>
        <v>0.5</v>
      </c>
      <c r="I39" s="15">
        <v>0</v>
      </c>
    </row>
    <row r="40" spans="1:9" x14ac:dyDescent="0.2">
      <c r="A40" s="16">
        <v>2015</v>
      </c>
      <c r="B40" s="17">
        <v>42228</v>
      </c>
      <c r="C40" s="16">
        <v>1</v>
      </c>
      <c r="D40" s="16">
        <v>6</v>
      </c>
      <c r="E40" s="16">
        <v>32</v>
      </c>
      <c r="F40" s="18">
        <f t="shared" si="2"/>
        <v>0.1875</v>
      </c>
      <c r="G40" s="16">
        <v>3</v>
      </c>
      <c r="H40" s="18">
        <f t="shared" si="3"/>
        <v>0.5</v>
      </c>
      <c r="I40" s="15">
        <v>0</v>
      </c>
    </row>
    <row r="41" spans="1:9" x14ac:dyDescent="0.2">
      <c r="A41" s="16">
        <v>2015</v>
      </c>
      <c r="B41" s="17">
        <v>42234</v>
      </c>
      <c r="C41" s="16">
        <v>1</v>
      </c>
      <c r="D41" s="16">
        <v>8</v>
      </c>
      <c r="E41" s="16">
        <v>40</v>
      </c>
      <c r="F41" s="18">
        <f t="shared" si="2"/>
        <v>0.2</v>
      </c>
      <c r="G41" s="16">
        <v>3</v>
      </c>
      <c r="H41" s="18">
        <f t="shared" si="3"/>
        <v>0.375</v>
      </c>
      <c r="I41" s="15">
        <v>0</v>
      </c>
    </row>
    <row r="42" spans="1:9" x14ac:dyDescent="0.2">
      <c r="A42" s="16">
        <v>2015</v>
      </c>
      <c r="B42" s="17">
        <v>42240</v>
      </c>
      <c r="C42" s="16">
        <v>1</v>
      </c>
      <c r="D42" s="16">
        <v>20</v>
      </c>
      <c r="E42" s="16">
        <v>50</v>
      </c>
      <c r="F42" s="18">
        <f t="shared" si="2"/>
        <v>0.4</v>
      </c>
      <c r="G42" s="16">
        <v>16</v>
      </c>
      <c r="H42" s="18">
        <f t="shared" si="3"/>
        <v>0.8</v>
      </c>
      <c r="I42" s="15">
        <v>0</v>
      </c>
    </row>
    <row r="43" spans="1:9" x14ac:dyDescent="0.2">
      <c r="A43" s="16">
        <v>2015</v>
      </c>
      <c r="B43" s="17">
        <v>42245</v>
      </c>
      <c r="C43" s="16">
        <v>0</v>
      </c>
      <c r="D43" s="16">
        <v>5</v>
      </c>
      <c r="E43" s="16">
        <v>33</v>
      </c>
      <c r="F43" s="18">
        <f t="shared" si="2"/>
        <v>0.15151515151515152</v>
      </c>
      <c r="G43" s="16">
        <v>1</v>
      </c>
      <c r="H43" s="18">
        <f t="shared" si="3"/>
        <v>0.2</v>
      </c>
      <c r="I43" s="15">
        <v>0</v>
      </c>
    </row>
    <row r="44" spans="1:9" x14ac:dyDescent="0.2">
      <c r="A44" s="16">
        <v>2015</v>
      </c>
      <c r="B44" s="17">
        <v>42251</v>
      </c>
      <c r="C44" s="16">
        <v>0</v>
      </c>
      <c r="D44" s="16">
        <v>12</v>
      </c>
      <c r="E44" s="16">
        <v>51</v>
      </c>
      <c r="F44" s="18">
        <f t="shared" si="2"/>
        <v>0.23529411764705882</v>
      </c>
      <c r="G44" s="16">
        <v>5</v>
      </c>
      <c r="H44" s="18">
        <f t="shared" si="3"/>
        <v>0.41666666666666669</v>
      </c>
      <c r="I44" s="15">
        <v>0</v>
      </c>
    </row>
    <row r="45" spans="1:9" x14ac:dyDescent="0.2">
      <c r="A45" s="16">
        <v>2015</v>
      </c>
      <c r="B45" s="17">
        <v>42256</v>
      </c>
      <c r="C45" s="16">
        <v>1</v>
      </c>
      <c r="D45" s="16">
        <v>8</v>
      </c>
      <c r="E45" s="16">
        <v>35</v>
      </c>
      <c r="F45" s="18">
        <f t="shared" si="2"/>
        <v>0.22857142857142856</v>
      </c>
      <c r="G45" s="16">
        <v>5</v>
      </c>
      <c r="H45" s="18">
        <f t="shared" si="3"/>
        <v>0.625</v>
      </c>
      <c r="I45" s="15">
        <v>0</v>
      </c>
    </row>
    <row r="46" spans="1:9" x14ac:dyDescent="0.2">
      <c r="A46" s="16">
        <v>2015</v>
      </c>
      <c r="B46" s="17">
        <v>42262</v>
      </c>
      <c r="C46" s="16">
        <v>0</v>
      </c>
      <c r="D46" s="16">
        <v>7</v>
      </c>
      <c r="E46" s="16">
        <v>40</v>
      </c>
      <c r="F46" s="18">
        <f t="shared" si="2"/>
        <v>0.17499999999999999</v>
      </c>
      <c r="G46" s="16">
        <v>3</v>
      </c>
      <c r="H46" s="18">
        <f t="shared" si="3"/>
        <v>0.42857142857142855</v>
      </c>
      <c r="I46" s="15">
        <v>0</v>
      </c>
    </row>
    <row r="47" spans="1:9" x14ac:dyDescent="0.2">
      <c r="A47" s="16">
        <v>2015</v>
      </c>
      <c r="B47" s="17">
        <v>42274</v>
      </c>
      <c r="C47" s="16">
        <v>1</v>
      </c>
      <c r="D47" s="16">
        <v>12</v>
      </c>
      <c r="E47" s="16">
        <v>44</v>
      </c>
      <c r="F47" s="18">
        <f t="shared" si="2"/>
        <v>0.27272727272727271</v>
      </c>
      <c r="G47" s="16">
        <v>8</v>
      </c>
      <c r="H47" s="18">
        <f t="shared" si="3"/>
        <v>0.66666666666666663</v>
      </c>
      <c r="I47" s="15">
        <v>0</v>
      </c>
    </row>
    <row r="48" spans="1:9" x14ac:dyDescent="0.2">
      <c r="A48" s="16">
        <v>2015</v>
      </c>
      <c r="B48" s="17">
        <v>42281</v>
      </c>
      <c r="C48" s="16">
        <v>1</v>
      </c>
      <c r="D48" s="16">
        <v>5</v>
      </c>
      <c r="E48" s="16">
        <v>30</v>
      </c>
      <c r="F48" s="18">
        <f t="shared" si="2"/>
        <v>0.16666666666666666</v>
      </c>
      <c r="G48" s="16">
        <v>1</v>
      </c>
      <c r="H48" s="18">
        <f t="shared" si="3"/>
        <v>0.2</v>
      </c>
      <c r="I48" s="16">
        <v>0</v>
      </c>
    </row>
    <row r="49" spans="1:9" x14ac:dyDescent="0.2">
      <c r="A49" s="16">
        <v>2015</v>
      </c>
      <c r="B49" s="17">
        <v>42102</v>
      </c>
      <c r="C49" s="16">
        <v>0</v>
      </c>
      <c r="D49" s="16">
        <v>6</v>
      </c>
      <c r="E49" s="16">
        <v>33</v>
      </c>
      <c r="F49" s="18">
        <f t="shared" si="2"/>
        <v>0.18181818181818182</v>
      </c>
      <c r="G49" s="16">
        <v>1</v>
      </c>
      <c r="H49" s="18">
        <f t="shared" si="3"/>
        <v>0.16666666666666666</v>
      </c>
      <c r="I49" s="15">
        <v>1</v>
      </c>
    </row>
    <row r="50" spans="1:9" x14ac:dyDescent="0.2">
      <c r="A50" s="16">
        <v>2015</v>
      </c>
      <c r="B50" s="17">
        <v>42135</v>
      </c>
      <c r="C50" s="16">
        <v>0</v>
      </c>
      <c r="D50" s="16">
        <v>6</v>
      </c>
      <c r="E50" s="16">
        <v>36</v>
      </c>
      <c r="F50" s="18">
        <f t="shared" si="2"/>
        <v>0.16666666666666666</v>
      </c>
      <c r="G50" s="16">
        <v>3</v>
      </c>
      <c r="H50" s="18">
        <f t="shared" si="3"/>
        <v>0.5</v>
      </c>
      <c r="I50" s="15">
        <v>1</v>
      </c>
    </row>
    <row r="51" spans="1:9" x14ac:dyDescent="0.2">
      <c r="A51" s="16">
        <v>2015</v>
      </c>
      <c r="B51" s="17">
        <v>42168</v>
      </c>
      <c r="C51" s="16">
        <v>0</v>
      </c>
      <c r="D51" s="16">
        <v>11</v>
      </c>
      <c r="E51" s="16">
        <v>45</v>
      </c>
      <c r="F51" s="18">
        <f t="shared" si="2"/>
        <v>0.24444444444444444</v>
      </c>
      <c r="G51" s="16">
        <v>3</v>
      </c>
      <c r="H51" s="18">
        <f t="shared" si="3"/>
        <v>0.27272727272727271</v>
      </c>
      <c r="I51" s="15">
        <v>1</v>
      </c>
    </row>
    <row r="52" spans="1:9" x14ac:dyDescent="0.2">
      <c r="A52" s="16">
        <v>2015</v>
      </c>
      <c r="B52" s="17">
        <v>42187</v>
      </c>
      <c r="C52" s="16">
        <v>0</v>
      </c>
      <c r="D52" s="16">
        <v>5</v>
      </c>
      <c r="E52" s="16">
        <v>31</v>
      </c>
      <c r="F52" s="18">
        <f t="shared" si="2"/>
        <v>0.16129032258064516</v>
      </c>
      <c r="G52" s="16">
        <v>1</v>
      </c>
      <c r="H52" s="18">
        <f t="shared" si="3"/>
        <v>0.2</v>
      </c>
      <c r="I52" s="15">
        <v>1</v>
      </c>
    </row>
    <row r="53" spans="1:9" x14ac:dyDescent="0.2">
      <c r="A53" s="6">
        <v>2015</v>
      </c>
      <c r="B53" s="7">
        <v>42211</v>
      </c>
      <c r="C53" s="6">
        <v>1</v>
      </c>
      <c r="D53" s="6">
        <v>6</v>
      </c>
      <c r="E53" s="6">
        <v>40</v>
      </c>
      <c r="F53" s="8">
        <f t="shared" si="2"/>
        <v>0.15</v>
      </c>
      <c r="G53" s="6">
        <v>3</v>
      </c>
      <c r="H53" s="8">
        <f t="shared" si="3"/>
        <v>0.5</v>
      </c>
      <c r="I53" s="19">
        <v>1</v>
      </c>
    </row>
    <row r="54" spans="1:9" x14ac:dyDescent="0.2">
      <c r="A54" s="16">
        <v>2016</v>
      </c>
      <c r="B54" s="17">
        <v>42484</v>
      </c>
      <c r="C54" s="16">
        <v>1</v>
      </c>
      <c r="D54" s="16">
        <v>7</v>
      </c>
      <c r="E54" s="16">
        <v>35</v>
      </c>
      <c r="F54" s="18">
        <f t="shared" si="2"/>
        <v>0.2</v>
      </c>
      <c r="G54" s="16">
        <v>3</v>
      </c>
      <c r="H54" s="18">
        <f t="shared" si="3"/>
        <v>0.42857142857142855</v>
      </c>
      <c r="I54" s="15">
        <v>0</v>
      </c>
    </row>
    <row r="55" spans="1:9" x14ac:dyDescent="0.2">
      <c r="A55" s="16">
        <v>2016</v>
      </c>
      <c r="B55" s="17">
        <v>42490</v>
      </c>
      <c r="C55" s="16">
        <v>1</v>
      </c>
      <c r="D55" s="16">
        <v>8</v>
      </c>
      <c r="E55" s="16">
        <v>35</v>
      </c>
      <c r="F55" s="18">
        <f t="shared" si="2"/>
        <v>0.22857142857142856</v>
      </c>
      <c r="G55" s="16">
        <v>6</v>
      </c>
      <c r="H55" s="18">
        <f t="shared" si="3"/>
        <v>0.75</v>
      </c>
      <c r="I55" s="15">
        <v>0</v>
      </c>
    </row>
    <row r="56" spans="1:9" x14ac:dyDescent="0.2">
      <c r="A56" s="16">
        <v>2016</v>
      </c>
      <c r="B56" s="17">
        <v>42495</v>
      </c>
      <c r="C56" s="16">
        <v>0</v>
      </c>
      <c r="D56" s="16">
        <v>4</v>
      </c>
      <c r="E56" s="16">
        <v>33</v>
      </c>
      <c r="F56" s="18">
        <f t="shared" si="2"/>
        <v>0.12121212121212122</v>
      </c>
      <c r="G56" s="16">
        <v>3</v>
      </c>
      <c r="H56" s="18">
        <f t="shared" si="3"/>
        <v>0.75</v>
      </c>
      <c r="I56" s="15">
        <v>0</v>
      </c>
    </row>
    <row r="57" spans="1:9" x14ac:dyDescent="0.2">
      <c r="A57" s="16">
        <v>2016</v>
      </c>
      <c r="B57" s="17">
        <v>42500</v>
      </c>
      <c r="C57" s="16">
        <v>0</v>
      </c>
      <c r="D57" s="16">
        <v>5</v>
      </c>
      <c r="E57" s="16">
        <v>34</v>
      </c>
      <c r="F57" s="18">
        <f t="shared" si="2"/>
        <v>0.14705882352941177</v>
      </c>
      <c r="G57" s="16">
        <v>2</v>
      </c>
      <c r="H57" s="18">
        <f t="shared" si="3"/>
        <v>0.4</v>
      </c>
      <c r="I57" s="15">
        <v>0</v>
      </c>
    </row>
    <row r="58" spans="1:9" x14ac:dyDescent="0.2">
      <c r="A58" s="16">
        <v>2016</v>
      </c>
      <c r="B58" s="17">
        <v>42505</v>
      </c>
      <c r="C58" s="16">
        <v>0</v>
      </c>
      <c r="D58" s="16">
        <v>8</v>
      </c>
      <c r="E58" s="16">
        <v>36</v>
      </c>
      <c r="F58" s="18">
        <f t="shared" si="2"/>
        <v>0.22222222222222221</v>
      </c>
      <c r="G58" s="16">
        <v>3</v>
      </c>
      <c r="H58" s="18">
        <f t="shared" si="3"/>
        <v>0.375</v>
      </c>
      <c r="I58" s="15">
        <v>0</v>
      </c>
    </row>
    <row r="59" spans="1:9" x14ac:dyDescent="0.2">
      <c r="A59" s="16">
        <v>2016</v>
      </c>
      <c r="B59" s="17">
        <v>42511</v>
      </c>
      <c r="C59" s="16">
        <v>1</v>
      </c>
      <c r="D59" s="16">
        <v>9</v>
      </c>
      <c r="E59" s="16">
        <v>38</v>
      </c>
      <c r="F59" s="18">
        <f t="shared" si="2"/>
        <v>0.23684210526315788</v>
      </c>
      <c r="G59" s="16">
        <v>5</v>
      </c>
      <c r="H59" s="18">
        <f t="shared" si="3"/>
        <v>0.55555555555555558</v>
      </c>
      <c r="I59" s="15">
        <v>0</v>
      </c>
    </row>
    <row r="60" spans="1:9" x14ac:dyDescent="0.2">
      <c r="A60" s="16">
        <v>2016</v>
      </c>
      <c r="B60" s="17">
        <v>42517</v>
      </c>
      <c r="C60" s="16">
        <v>1</v>
      </c>
      <c r="D60" s="16">
        <v>9</v>
      </c>
      <c r="E60" s="16">
        <v>37</v>
      </c>
      <c r="F60" s="18">
        <f t="shared" si="2"/>
        <v>0.24324324324324326</v>
      </c>
      <c r="G60" s="16">
        <v>6</v>
      </c>
      <c r="H60" s="18">
        <f t="shared" si="3"/>
        <v>0.66666666666666663</v>
      </c>
      <c r="I60" s="15">
        <v>0</v>
      </c>
    </row>
    <row r="61" spans="1:9" x14ac:dyDescent="0.2">
      <c r="A61" s="16">
        <v>2016</v>
      </c>
      <c r="B61" s="17">
        <v>42522</v>
      </c>
      <c r="C61" s="16">
        <v>0</v>
      </c>
      <c r="D61" s="16">
        <v>7</v>
      </c>
      <c r="E61" s="16">
        <v>54</v>
      </c>
      <c r="F61" s="18">
        <f t="shared" si="2"/>
        <v>0.12962962962962962</v>
      </c>
      <c r="G61" s="16">
        <v>1</v>
      </c>
      <c r="H61" s="18">
        <f t="shared" si="3"/>
        <v>0.14285714285714285</v>
      </c>
      <c r="I61" s="15">
        <v>0</v>
      </c>
    </row>
    <row r="62" spans="1:9" x14ac:dyDescent="0.2">
      <c r="A62" s="16">
        <v>2016</v>
      </c>
      <c r="B62" s="17">
        <v>42528</v>
      </c>
      <c r="C62" s="16">
        <v>0</v>
      </c>
      <c r="D62" s="16">
        <v>4</v>
      </c>
      <c r="E62" s="16">
        <v>31</v>
      </c>
      <c r="F62" s="18">
        <f t="shared" si="2"/>
        <v>0.12903225806451613</v>
      </c>
      <c r="G62" s="16">
        <v>1</v>
      </c>
      <c r="H62" s="18">
        <f t="shared" si="3"/>
        <v>0.25</v>
      </c>
      <c r="I62" s="15">
        <v>0</v>
      </c>
    </row>
    <row r="63" spans="1:9" x14ac:dyDescent="0.2">
      <c r="A63" s="16">
        <v>2016</v>
      </c>
      <c r="B63" s="17">
        <v>42535</v>
      </c>
      <c r="C63" s="16">
        <v>0</v>
      </c>
      <c r="D63" s="16">
        <v>3</v>
      </c>
      <c r="E63" s="16">
        <v>31</v>
      </c>
      <c r="F63" s="18">
        <f t="shared" si="2"/>
        <v>9.6774193548387094E-2</v>
      </c>
      <c r="G63" s="16">
        <v>0</v>
      </c>
      <c r="H63" s="18">
        <f t="shared" si="3"/>
        <v>0</v>
      </c>
      <c r="I63" s="15">
        <v>0</v>
      </c>
    </row>
    <row r="64" spans="1:9" x14ac:dyDescent="0.2">
      <c r="A64" s="16">
        <v>2016</v>
      </c>
      <c r="B64" s="17">
        <v>42552</v>
      </c>
      <c r="C64" s="16">
        <v>1</v>
      </c>
      <c r="D64" s="16">
        <v>12</v>
      </c>
      <c r="E64" s="16">
        <v>40</v>
      </c>
      <c r="F64" s="18">
        <f t="shared" si="2"/>
        <v>0.3</v>
      </c>
      <c r="G64" s="16">
        <v>10</v>
      </c>
      <c r="H64" s="18">
        <f t="shared" si="3"/>
        <v>0.83333333333333337</v>
      </c>
      <c r="I64" s="15">
        <v>0</v>
      </c>
    </row>
    <row r="65" spans="1:11" x14ac:dyDescent="0.2">
      <c r="A65" s="16">
        <v>2016</v>
      </c>
      <c r="B65" s="17">
        <v>42557</v>
      </c>
      <c r="C65" s="16">
        <v>1</v>
      </c>
      <c r="D65" s="16">
        <v>6</v>
      </c>
      <c r="E65" s="16">
        <v>32</v>
      </c>
      <c r="F65" s="18">
        <f t="shared" si="2"/>
        <v>0.1875</v>
      </c>
      <c r="G65" s="16">
        <v>4</v>
      </c>
      <c r="H65" s="18">
        <f t="shared" si="3"/>
        <v>0.66666666666666663</v>
      </c>
      <c r="I65" s="15">
        <v>0</v>
      </c>
    </row>
    <row r="66" spans="1:11" x14ac:dyDescent="0.2">
      <c r="A66" s="16">
        <v>2016</v>
      </c>
      <c r="B66" s="17">
        <v>42568</v>
      </c>
      <c r="C66" s="16">
        <v>0</v>
      </c>
      <c r="D66" s="16">
        <v>8</v>
      </c>
      <c r="E66" s="16">
        <v>37</v>
      </c>
      <c r="F66" s="18">
        <f t="shared" ref="F66:F97" si="4">D66/E66</f>
        <v>0.21621621621621623</v>
      </c>
      <c r="G66" s="16">
        <v>5</v>
      </c>
      <c r="H66" s="18">
        <f t="shared" ref="H66:H97" si="5">G66/D66</f>
        <v>0.625</v>
      </c>
      <c r="I66" s="15">
        <v>0</v>
      </c>
    </row>
    <row r="67" spans="1:11" x14ac:dyDescent="0.2">
      <c r="A67" s="16">
        <v>2016</v>
      </c>
      <c r="B67" s="17">
        <v>42579</v>
      </c>
      <c r="C67" s="16">
        <v>0</v>
      </c>
      <c r="D67" s="16">
        <v>10</v>
      </c>
      <c r="E67" s="16">
        <v>37</v>
      </c>
      <c r="F67" s="18">
        <f t="shared" si="4"/>
        <v>0.27027027027027029</v>
      </c>
      <c r="G67" s="16">
        <v>1</v>
      </c>
      <c r="H67" s="18">
        <f t="shared" si="5"/>
        <v>0.1</v>
      </c>
      <c r="I67" s="15">
        <v>0</v>
      </c>
    </row>
    <row r="68" spans="1:11" x14ac:dyDescent="0.2">
      <c r="A68" s="16">
        <v>2016</v>
      </c>
      <c r="B68" s="17">
        <v>42589</v>
      </c>
      <c r="C68" s="16">
        <v>1</v>
      </c>
      <c r="D68" s="16">
        <v>5</v>
      </c>
      <c r="E68" s="16">
        <v>33</v>
      </c>
      <c r="F68" s="18">
        <f t="shared" si="4"/>
        <v>0.15151515151515152</v>
      </c>
      <c r="G68" s="16">
        <v>3</v>
      </c>
      <c r="H68" s="18">
        <f t="shared" si="5"/>
        <v>0.6</v>
      </c>
      <c r="I68" s="15">
        <v>0</v>
      </c>
    </row>
    <row r="69" spans="1:11" x14ac:dyDescent="0.2">
      <c r="A69" s="16">
        <v>2016</v>
      </c>
      <c r="B69" s="17">
        <v>42595</v>
      </c>
      <c r="C69" s="16">
        <v>1</v>
      </c>
      <c r="D69" s="16">
        <v>7</v>
      </c>
      <c r="E69" s="16">
        <v>42</v>
      </c>
      <c r="F69" s="18">
        <f t="shared" si="4"/>
        <v>0.16666666666666666</v>
      </c>
      <c r="G69" s="16">
        <v>3</v>
      </c>
      <c r="H69" s="18">
        <f t="shared" si="5"/>
        <v>0.42857142857142855</v>
      </c>
      <c r="I69" s="15">
        <v>0</v>
      </c>
    </row>
    <row r="70" spans="1:11" x14ac:dyDescent="0.2">
      <c r="A70" s="16">
        <v>2016</v>
      </c>
      <c r="B70" s="17">
        <v>42614</v>
      </c>
      <c r="C70" s="16">
        <v>0</v>
      </c>
      <c r="D70" s="16">
        <v>9</v>
      </c>
      <c r="E70" s="16">
        <v>39</v>
      </c>
      <c r="F70" s="18">
        <f t="shared" si="4"/>
        <v>0.23076923076923078</v>
      </c>
      <c r="G70" s="16">
        <v>4</v>
      </c>
      <c r="H70" s="18">
        <f t="shared" si="5"/>
        <v>0.44444444444444442</v>
      </c>
      <c r="I70" s="16">
        <v>0</v>
      </c>
      <c r="K70" s="3">
        <f>AVERAGE(H54:H70)</f>
        <v>0.47156862745098033</v>
      </c>
    </row>
    <row r="71" spans="1:11" x14ac:dyDescent="0.2">
      <c r="A71" s="16">
        <v>2016</v>
      </c>
      <c r="B71" s="17">
        <v>42468</v>
      </c>
      <c r="C71" s="16">
        <v>1</v>
      </c>
      <c r="D71" s="16">
        <v>9</v>
      </c>
      <c r="E71" s="16">
        <v>39</v>
      </c>
      <c r="F71" s="18">
        <f t="shared" si="4"/>
        <v>0.23076923076923078</v>
      </c>
      <c r="G71" s="16">
        <v>7</v>
      </c>
      <c r="H71" s="18">
        <f t="shared" si="5"/>
        <v>0.77777777777777779</v>
      </c>
      <c r="I71" s="15">
        <v>1</v>
      </c>
      <c r="K71" s="3">
        <f>AVERAGE(H71:H77)</f>
        <v>0.37017704517704519</v>
      </c>
    </row>
    <row r="72" spans="1:11" x14ac:dyDescent="0.2">
      <c r="A72" s="16">
        <v>2016</v>
      </c>
      <c r="B72" s="17">
        <v>42540</v>
      </c>
      <c r="C72" s="16">
        <v>0</v>
      </c>
      <c r="D72" s="16">
        <v>1</v>
      </c>
      <c r="E72" s="16">
        <v>28</v>
      </c>
      <c r="F72" s="18">
        <f t="shared" si="4"/>
        <v>3.5714285714285712E-2</v>
      </c>
      <c r="G72" s="16">
        <v>0</v>
      </c>
      <c r="H72" s="18">
        <f t="shared" si="5"/>
        <v>0</v>
      </c>
      <c r="I72" s="15">
        <v>1</v>
      </c>
    </row>
    <row r="73" spans="1:11" x14ac:dyDescent="0.2">
      <c r="A73" s="16">
        <v>2016</v>
      </c>
      <c r="B73" s="17">
        <v>42546</v>
      </c>
      <c r="C73" s="16">
        <v>1</v>
      </c>
      <c r="D73" s="16">
        <v>8</v>
      </c>
      <c r="E73" s="16">
        <v>40</v>
      </c>
      <c r="F73" s="18">
        <f t="shared" si="4"/>
        <v>0.2</v>
      </c>
      <c r="G73" s="16">
        <v>1</v>
      </c>
      <c r="H73" s="18">
        <f t="shared" si="5"/>
        <v>0.125</v>
      </c>
      <c r="I73" s="15">
        <v>1</v>
      </c>
    </row>
    <row r="74" spans="1:11" x14ac:dyDescent="0.2">
      <c r="A74" s="16">
        <v>2016</v>
      </c>
      <c r="B74" s="17">
        <v>42574</v>
      </c>
      <c r="C74" s="16">
        <v>0</v>
      </c>
      <c r="D74" s="16">
        <v>10</v>
      </c>
      <c r="E74" s="16">
        <v>40</v>
      </c>
      <c r="F74" s="18">
        <f t="shared" si="4"/>
        <v>0.25</v>
      </c>
      <c r="G74" s="16">
        <v>2</v>
      </c>
      <c r="H74" s="18">
        <f t="shared" si="5"/>
        <v>0.2</v>
      </c>
      <c r="I74" s="15">
        <v>1</v>
      </c>
    </row>
    <row r="75" spans="1:11" x14ac:dyDescent="0.2">
      <c r="A75" s="16">
        <v>2016</v>
      </c>
      <c r="B75" s="17">
        <v>42584</v>
      </c>
      <c r="C75" s="16">
        <v>1</v>
      </c>
      <c r="D75" s="16">
        <v>10</v>
      </c>
      <c r="E75" s="16">
        <v>35</v>
      </c>
      <c r="F75" s="18">
        <f t="shared" si="4"/>
        <v>0.2857142857142857</v>
      </c>
      <c r="G75" s="16">
        <v>7</v>
      </c>
      <c r="H75" s="18">
        <f t="shared" si="5"/>
        <v>0.7</v>
      </c>
      <c r="I75" s="15">
        <v>1</v>
      </c>
    </row>
    <row r="76" spans="1:11" x14ac:dyDescent="0.2">
      <c r="A76" s="16">
        <v>2016</v>
      </c>
      <c r="B76" s="17">
        <v>42600</v>
      </c>
      <c r="C76" s="16">
        <v>0</v>
      </c>
      <c r="D76" s="16">
        <v>13</v>
      </c>
      <c r="E76" s="16">
        <v>42</v>
      </c>
      <c r="F76" s="18">
        <f t="shared" si="4"/>
        <v>0.30952380952380953</v>
      </c>
      <c r="G76" s="16">
        <v>7</v>
      </c>
      <c r="H76" s="18">
        <f t="shared" si="5"/>
        <v>0.53846153846153844</v>
      </c>
      <c r="I76" s="15">
        <v>1</v>
      </c>
    </row>
    <row r="77" spans="1:11" x14ac:dyDescent="0.2">
      <c r="A77" s="6">
        <v>2016</v>
      </c>
      <c r="B77" s="7">
        <v>42606</v>
      </c>
      <c r="C77" s="6">
        <v>0</v>
      </c>
      <c r="D77" s="6">
        <v>4</v>
      </c>
      <c r="E77" s="6">
        <v>33</v>
      </c>
      <c r="F77" s="8">
        <f t="shared" si="4"/>
        <v>0.12121212121212122</v>
      </c>
      <c r="G77" s="6">
        <v>1</v>
      </c>
      <c r="H77" s="8">
        <f t="shared" si="5"/>
        <v>0.25</v>
      </c>
      <c r="I77" s="19">
        <v>1</v>
      </c>
    </row>
    <row r="78" spans="1:11" x14ac:dyDescent="0.2">
      <c r="A78" s="16">
        <v>2017</v>
      </c>
      <c r="B78" s="17">
        <v>42830</v>
      </c>
      <c r="C78" s="16">
        <v>0</v>
      </c>
      <c r="D78" s="16">
        <v>5</v>
      </c>
      <c r="E78" s="16">
        <v>43</v>
      </c>
      <c r="F78" s="18">
        <f t="shared" si="4"/>
        <v>0.11627906976744186</v>
      </c>
      <c r="G78" s="16">
        <v>1</v>
      </c>
      <c r="H78" s="18">
        <f t="shared" si="5"/>
        <v>0.2</v>
      </c>
      <c r="I78" s="15">
        <v>0</v>
      </c>
    </row>
    <row r="79" spans="1:11" x14ac:dyDescent="0.2">
      <c r="A79" s="16">
        <v>2017</v>
      </c>
      <c r="B79" s="17">
        <v>42835</v>
      </c>
      <c r="C79" s="16">
        <v>1</v>
      </c>
      <c r="D79" s="16">
        <v>4</v>
      </c>
      <c r="E79" s="16">
        <v>35</v>
      </c>
      <c r="F79" s="18">
        <f t="shared" si="4"/>
        <v>0.11428571428571428</v>
      </c>
      <c r="G79" s="16">
        <v>4</v>
      </c>
      <c r="H79" s="18">
        <f t="shared" si="5"/>
        <v>1</v>
      </c>
      <c r="I79" s="15">
        <v>0</v>
      </c>
    </row>
    <row r="80" spans="1:11" x14ac:dyDescent="0.2">
      <c r="A80" s="16">
        <v>2017</v>
      </c>
      <c r="B80" s="17">
        <v>42840</v>
      </c>
      <c r="C80" s="16">
        <v>0</v>
      </c>
      <c r="D80" s="16">
        <v>5</v>
      </c>
      <c r="E80" s="16">
        <v>34</v>
      </c>
      <c r="F80" s="18">
        <f t="shared" si="4"/>
        <v>0.14705882352941177</v>
      </c>
      <c r="G80" s="16">
        <v>4</v>
      </c>
      <c r="H80" s="18">
        <f t="shared" si="5"/>
        <v>0.8</v>
      </c>
      <c r="I80" s="15">
        <v>0</v>
      </c>
    </row>
    <row r="81" spans="1:9" x14ac:dyDescent="0.2">
      <c r="A81" s="16">
        <v>2017</v>
      </c>
      <c r="B81" s="17">
        <v>42858</v>
      </c>
      <c r="C81" s="16">
        <v>1</v>
      </c>
      <c r="D81" s="16">
        <v>20</v>
      </c>
      <c r="E81" s="16">
        <v>52</v>
      </c>
      <c r="F81" s="18">
        <f t="shared" si="4"/>
        <v>0.38461538461538464</v>
      </c>
      <c r="G81" s="16">
        <v>16</v>
      </c>
      <c r="H81" s="18">
        <f t="shared" si="5"/>
        <v>0.8</v>
      </c>
      <c r="I81" s="15">
        <v>0</v>
      </c>
    </row>
    <row r="82" spans="1:9" x14ac:dyDescent="0.2">
      <c r="A82" s="16">
        <v>2017</v>
      </c>
      <c r="B82" s="17">
        <v>42863</v>
      </c>
      <c r="C82" s="16">
        <v>1</v>
      </c>
      <c r="D82" s="16">
        <v>11</v>
      </c>
      <c r="E82" s="16">
        <v>41</v>
      </c>
      <c r="F82" s="18">
        <f t="shared" si="4"/>
        <v>0.26829268292682928</v>
      </c>
      <c r="G82" s="16">
        <v>4</v>
      </c>
      <c r="H82" s="18">
        <f t="shared" si="5"/>
        <v>0.36363636363636365</v>
      </c>
      <c r="I82" s="15">
        <v>0</v>
      </c>
    </row>
    <row r="83" spans="1:9" x14ac:dyDescent="0.2">
      <c r="A83" s="16">
        <v>2017</v>
      </c>
      <c r="B83" s="17">
        <v>42869</v>
      </c>
      <c r="C83" s="16">
        <v>0</v>
      </c>
      <c r="D83" s="16">
        <v>15</v>
      </c>
      <c r="E83" s="16">
        <v>42</v>
      </c>
      <c r="F83" s="18">
        <f t="shared" si="4"/>
        <v>0.35714285714285715</v>
      </c>
      <c r="G83" s="16">
        <v>9</v>
      </c>
      <c r="H83" s="18">
        <f t="shared" si="5"/>
        <v>0.6</v>
      </c>
      <c r="I83" s="15">
        <v>0</v>
      </c>
    </row>
    <row r="84" spans="1:9" x14ac:dyDescent="0.2">
      <c r="A84" s="16">
        <v>2017</v>
      </c>
      <c r="B84" s="17">
        <v>42874</v>
      </c>
      <c r="C84" s="16">
        <v>1</v>
      </c>
      <c r="D84" s="16">
        <v>6</v>
      </c>
      <c r="E84" s="16">
        <v>35</v>
      </c>
      <c r="F84" s="18">
        <f t="shared" si="4"/>
        <v>0.17142857142857143</v>
      </c>
      <c r="G84" s="16">
        <v>3</v>
      </c>
      <c r="H84" s="18">
        <f t="shared" si="5"/>
        <v>0.5</v>
      </c>
      <c r="I84" s="15">
        <v>0</v>
      </c>
    </row>
    <row r="85" spans="1:9" x14ac:dyDescent="0.2">
      <c r="A85" s="16">
        <v>2017</v>
      </c>
      <c r="B85" s="17">
        <v>42881</v>
      </c>
      <c r="C85" s="16">
        <v>1</v>
      </c>
      <c r="D85" s="16">
        <v>12</v>
      </c>
      <c r="E85" s="16">
        <v>44</v>
      </c>
      <c r="F85" s="18">
        <f t="shared" si="4"/>
        <v>0.27272727272727271</v>
      </c>
      <c r="G85" s="16">
        <v>8</v>
      </c>
      <c r="H85" s="18">
        <f t="shared" si="5"/>
        <v>0.66666666666666663</v>
      </c>
      <c r="I85" s="15">
        <v>0</v>
      </c>
    </row>
    <row r="86" spans="1:9" x14ac:dyDescent="0.2">
      <c r="A86" s="16">
        <v>2017</v>
      </c>
      <c r="B86" s="17">
        <v>42886</v>
      </c>
      <c r="C86" s="16">
        <v>0</v>
      </c>
      <c r="D86" s="16">
        <v>7</v>
      </c>
      <c r="E86" s="16">
        <v>38</v>
      </c>
      <c r="F86" s="18">
        <f t="shared" si="4"/>
        <v>0.18421052631578946</v>
      </c>
      <c r="G86" s="16">
        <v>1</v>
      </c>
      <c r="H86" s="18">
        <f t="shared" si="5"/>
        <v>0.14285714285714285</v>
      </c>
      <c r="I86" s="15">
        <v>0</v>
      </c>
    </row>
    <row r="87" spans="1:9" x14ac:dyDescent="0.2">
      <c r="A87" s="16">
        <v>2017</v>
      </c>
      <c r="B87" s="17">
        <v>42892</v>
      </c>
      <c r="C87" s="16">
        <v>0</v>
      </c>
      <c r="D87" s="16">
        <v>17</v>
      </c>
      <c r="E87" s="16">
        <v>48</v>
      </c>
      <c r="F87" s="18">
        <f t="shared" si="4"/>
        <v>0.35416666666666669</v>
      </c>
      <c r="G87" s="16">
        <v>8</v>
      </c>
      <c r="H87" s="18">
        <f t="shared" si="5"/>
        <v>0.47058823529411764</v>
      </c>
      <c r="I87" s="15">
        <v>0</v>
      </c>
    </row>
    <row r="88" spans="1:9" x14ac:dyDescent="0.2">
      <c r="A88" s="16">
        <v>2017</v>
      </c>
      <c r="B88" s="17">
        <v>42898</v>
      </c>
      <c r="C88" s="16">
        <v>1</v>
      </c>
      <c r="D88" s="16">
        <v>11</v>
      </c>
      <c r="E88" s="16">
        <v>36</v>
      </c>
      <c r="F88" s="18">
        <f t="shared" si="4"/>
        <v>0.30555555555555558</v>
      </c>
      <c r="G88" s="16">
        <v>6</v>
      </c>
      <c r="H88" s="18">
        <f t="shared" si="5"/>
        <v>0.54545454545454541</v>
      </c>
      <c r="I88" s="15">
        <v>0</v>
      </c>
    </row>
    <row r="89" spans="1:9" x14ac:dyDescent="0.2">
      <c r="A89" s="16">
        <v>2017</v>
      </c>
      <c r="B89" s="17">
        <v>42904</v>
      </c>
      <c r="C89" s="16">
        <v>1</v>
      </c>
      <c r="D89" s="16">
        <v>11</v>
      </c>
      <c r="E89" s="16">
        <v>39</v>
      </c>
      <c r="F89" s="18">
        <f t="shared" si="4"/>
        <v>0.28205128205128205</v>
      </c>
      <c r="G89" s="16">
        <v>5</v>
      </c>
      <c r="H89" s="18">
        <f t="shared" si="5"/>
        <v>0.45454545454545453</v>
      </c>
      <c r="I89" s="15">
        <v>0</v>
      </c>
    </row>
    <row r="90" spans="1:9" x14ac:dyDescent="0.2">
      <c r="A90" s="16">
        <v>2017</v>
      </c>
      <c r="B90" s="17">
        <v>42910</v>
      </c>
      <c r="C90" s="16">
        <v>1</v>
      </c>
      <c r="D90" s="16">
        <v>10</v>
      </c>
      <c r="E90" s="16">
        <v>39</v>
      </c>
      <c r="F90" s="18">
        <f t="shared" si="4"/>
        <v>0.25641025641025639</v>
      </c>
      <c r="G90" s="16">
        <v>5</v>
      </c>
      <c r="H90" s="18">
        <f t="shared" si="5"/>
        <v>0.5</v>
      </c>
      <c r="I90" s="15">
        <v>0</v>
      </c>
    </row>
    <row r="91" spans="1:9" x14ac:dyDescent="0.2">
      <c r="A91" s="16">
        <v>2017</v>
      </c>
      <c r="B91" s="17">
        <v>42916</v>
      </c>
      <c r="C91" s="16">
        <v>1</v>
      </c>
      <c r="D91" s="16">
        <v>6</v>
      </c>
      <c r="E91" s="16">
        <v>32</v>
      </c>
      <c r="F91" s="18">
        <f t="shared" si="4"/>
        <v>0.1875</v>
      </c>
      <c r="G91" s="16">
        <v>2</v>
      </c>
      <c r="H91" s="18">
        <f t="shared" si="5"/>
        <v>0.33333333333333331</v>
      </c>
      <c r="I91" s="15">
        <v>0</v>
      </c>
    </row>
    <row r="92" spans="1:9" x14ac:dyDescent="0.2">
      <c r="A92" s="16">
        <v>2017</v>
      </c>
      <c r="B92" s="17">
        <v>42930</v>
      </c>
      <c r="C92" s="16">
        <v>1</v>
      </c>
      <c r="D92" s="16">
        <v>19</v>
      </c>
      <c r="E92" s="16">
        <v>49</v>
      </c>
      <c r="F92" s="18">
        <f t="shared" si="4"/>
        <v>0.38775510204081631</v>
      </c>
      <c r="G92" s="16">
        <v>14</v>
      </c>
      <c r="H92" s="18">
        <f t="shared" si="5"/>
        <v>0.73684210526315785</v>
      </c>
      <c r="I92" s="15">
        <v>0</v>
      </c>
    </row>
    <row r="93" spans="1:9" x14ac:dyDescent="0.2">
      <c r="A93" s="16">
        <v>2017</v>
      </c>
      <c r="B93" s="17">
        <v>42940</v>
      </c>
      <c r="C93" s="16">
        <v>1</v>
      </c>
      <c r="D93" s="16">
        <v>12</v>
      </c>
      <c r="E93" s="16">
        <v>40</v>
      </c>
      <c r="F93" s="18">
        <f t="shared" si="4"/>
        <v>0.3</v>
      </c>
      <c r="G93" s="16">
        <v>5</v>
      </c>
      <c r="H93" s="18">
        <f t="shared" si="5"/>
        <v>0.41666666666666669</v>
      </c>
      <c r="I93" s="15">
        <v>0</v>
      </c>
    </row>
    <row r="94" spans="1:9" x14ac:dyDescent="0.2">
      <c r="A94" s="16">
        <v>2017</v>
      </c>
      <c r="B94" s="17">
        <v>42945</v>
      </c>
      <c r="C94" s="16">
        <v>0</v>
      </c>
      <c r="D94" s="16">
        <v>8</v>
      </c>
      <c r="E94" s="16">
        <v>38</v>
      </c>
      <c r="F94" s="18">
        <f t="shared" si="4"/>
        <v>0.21052631578947367</v>
      </c>
      <c r="G94" s="16">
        <v>2</v>
      </c>
      <c r="H94" s="18">
        <f t="shared" si="5"/>
        <v>0.25</v>
      </c>
      <c r="I94" s="15">
        <v>0</v>
      </c>
    </row>
    <row r="95" spans="1:9" x14ac:dyDescent="0.2">
      <c r="A95" s="16">
        <v>2017</v>
      </c>
      <c r="B95" s="17">
        <v>42957</v>
      </c>
      <c r="C95" s="16">
        <v>1</v>
      </c>
      <c r="D95" s="16">
        <v>13</v>
      </c>
      <c r="E95" s="16">
        <v>43</v>
      </c>
      <c r="F95" s="18">
        <f t="shared" si="4"/>
        <v>0.30232558139534882</v>
      </c>
      <c r="G95" s="16">
        <v>10</v>
      </c>
      <c r="H95" s="18">
        <f t="shared" si="5"/>
        <v>0.76923076923076927</v>
      </c>
      <c r="I95" s="15">
        <v>0</v>
      </c>
    </row>
    <row r="96" spans="1:9" x14ac:dyDescent="0.2">
      <c r="A96" s="16">
        <v>2017</v>
      </c>
      <c r="B96" s="17">
        <v>42962</v>
      </c>
      <c r="C96" s="16">
        <v>0</v>
      </c>
      <c r="D96" s="16">
        <v>7</v>
      </c>
      <c r="E96" s="16">
        <v>36</v>
      </c>
      <c r="F96" s="18">
        <f t="shared" si="4"/>
        <v>0.19444444444444445</v>
      </c>
      <c r="G96" s="16">
        <v>4</v>
      </c>
      <c r="H96" s="18">
        <f t="shared" si="5"/>
        <v>0.5714285714285714</v>
      </c>
      <c r="I96" s="15">
        <v>0</v>
      </c>
    </row>
    <row r="97" spans="1:11" x14ac:dyDescent="0.2">
      <c r="A97" s="16">
        <v>2017</v>
      </c>
      <c r="B97" s="17">
        <v>42967</v>
      </c>
      <c r="C97" s="16">
        <v>0</v>
      </c>
      <c r="D97" s="16">
        <v>7</v>
      </c>
      <c r="E97" s="16">
        <v>36</v>
      </c>
      <c r="F97" s="18">
        <f t="shared" si="4"/>
        <v>0.19444444444444445</v>
      </c>
      <c r="G97" s="16">
        <v>4</v>
      </c>
      <c r="H97" s="18">
        <f t="shared" si="5"/>
        <v>0.5714285714285714</v>
      </c>
      <c r="I97" s="15">
        <v>0</v>
      </c>
    </row>
    <row r="98" spans="1:11" x14ac:dyDescent="0.2">
      <c r="A98" s="16">
        <v>2017</v>
      </c>
      <c r="B98" s="17">
        <v>42972</v>
      </c>
      <c r="C98" s="16">
        <v>1</v>
      </c>
      <c r="D98" s="16">
        <v>9</v>
      </c>
      <c r="E98" s="16">
        <v>40</v>
      </c>
      <c r="F98" s="18">
        <f t="shared" ref="F98:F129" si="6">D98/E98</f>
        <v>0.22500000000000001</v>
      </c>
      <c r="G98" s="16">
        <v>4</v>
      </c>
      <c r="H98" s="18">
        <f t="shared" ref="H98:H129" si="7">G98/D98</f>
        <v>0.44444444444444442</v>
      </c>
      <c r="I98" s="15">
        <v>0</v>
      </c>
    </row>
    <row r="99" spans="1:11" x14ac:dyDescent="0.2">
      <c r="A99" s="16">
        <v>2017</v>
      </c>
      <c r="B99" s="17">
        <v>42978</v>
      </c>
      <c r="C99" s="16">
        <v>1</v>
      </c>
      <c r="D99" s="16">
        <v>7</v>
      </c>
      <c r="E99" s="16">
        <v>37</v>
      </c>
      <c r="F99" s="18">
        <f t="shared" si="6"/>
        <v>0.1891891891891892</v>
      </c>
      <c r="G99" s="16">
        <v>2</v>
      </c>
      <c r="H99" s="18">
        <f t="shared" si="7"/>
        <v>0.2857142857142857</v>
      </c>
      <c r="I99" s="15">
        <v>0</v>
      </c>
    </row>
    <row r="100" spans="1:11" x14ac:dyDescent="0.2">
      <c r="A100" s="16">
        <v>2017</v>
      </c>
      <c r="B100" s="17">
        <v>42983</v>
      </c>
      <c r="C100" s="16">
        <v>0</v>
      </c>
      <c r="D100" s="16">
        <v>6</v>
      </c>
      <c r="E100" s="16">
        <v>36</v>
      </c>
      <c r="F100" s="18">
        <f t="shared" si="6"/>
        <v>0.16666666666666666</v>
      </c>
      <c r="G100" s="16">
        <v>1</v>
      </c>
      <c r="H100" s="18">
        <f t="shared" si="7"/>
        <v>0.16666666666666666</v>
      </c>
      <c r="I100" s="15">
        <v>0</v>
      </c>
    </row>
    <row r="101" spans="1:11" x14ac:dyDescent="0.2">
      <c r="A101" s="16">
        <v>2017</v>
      </c>
      <c r="B101" s="17">
        <v>42988</v>
      </c>
      <c r="C101" s="16">
        <v>0</v>
      </c>
      <c r="D101" s="16">
        <v>13</v>
      </c>
      <c r="E101" s="16">
        <v>41</v>
      </c>
      <c r="F101" s="18">
        <f t="shared" si="6"/>
        <v>0.31707317073170732</v>
      </c>
      <c r="G101" s="16">
        <v>5</v>
      </c>
      <c r="H101" s="18">
        <f t="shared" si="7"/>
        <v>0.38461538461538464</v>
      </c>
      <c r="I101" s="15">
        <v>0</v>
      </c>
    </row>
    <row r="102" spans="1:11" x14ac:dyDescent="0.2">
      <c r="A102" s="16">
        <v>2017</v>
      </c>
      <c r="B102" s="17">
        <v>42994</v>
      </c>
      <c r="C102" s="16">
        <v>1</v>
      </c>
      <c r="D102" s="16">
        <v>11</v>
      </c>
      <c r="E102" s="16">
        <v>38</v>
      </c>
      <c r="F102" s="18">
        <f t="shared" si="6"/>
        <v>0.28947368421052633</v>
      </c>
      <c r="G102" s="16">
        <v>7</v>
      </c>
      <c r="H102" s="18">
        <f t="shared" si="7"/>
        <v>0.63636363636363635</v>
      </c>
      <c r="I102" s="15">
        <v>0</v>
      </c>
      <c r="K102" s="3">
        <f>AVERAGE(H78:H102)</f>
        <v>0.5044193137443912</v>
      </c>
    </row>
    <row r="103" spans="1:11" x14ac:dyDescent="0.2">
      <c r="A103" s="16">
        <v>2017</v>
      </c>
      <c r="B103" s="17">
        <v>42847</v>
      </c>
      <c r="C103" s="16">
        <v>0</v>
      </c>
      <c r="D103" s="16">
        <v>2</v>
      </c>
      <c r="E103" s="16">
        <v>32</v>
      </c>
      <c r="F103" s="18">
        <f t="shared" si="6"/>
        <v>6.25E-2</v>
      </c>
      <c r="G103" s="16">
        <v>1</v>
      </c>
      <c r="H103" s="18">
        <f t="shared" si="7"/>
        <v>0.5</v>
      </c>
      <c r="I103" s="15">
        <v>1</v>
      </c>
    </row>
    <row r="104" spans="1:11" x14ac:dyDescent="0.2">
      <c r="A104" s="16">
        <v>2017</v>
      </c>
      <c r="B104" s="17">
        <v>42853</v>
      </c>
      <c r="C104" s="16">
        <v>1</v>
      </c>
      <c r="D104" s="16">
        <v>12</v>
      </c>
      <c r="E104" s="16">
        <v>43</v>
      </c>
      <c r="F104" s="18">
        <f t="shared" si="6"/>
        <v>0.27906976744186046</v>
      </c>
      <c r="G104" s="16">
        <v>7</v>
      </c>
      <c r="H104" s="18">
        <f t="shared" si="7"/>
        <v>0.58333333333333337</v>
      </c>
      <c r="I104" s="15">
        <v>1</v>
      </c>
    </row>
    <row r="105" spans="1:11" x14ac:dyDescent="0.2">
      <c r="A105" s="16">
        <v>2017</v>
      </c>
      <c r="B105" s="17">
        <v>42923</v>
      </c>
      <c r="C105" s="16">
        <v>1</v>
      </c>
      <c r="D105" s="16">
        <v>9</v>
      </c>
      <c r="E105" s="16">
        <v>41</v>
      </c>
      <c r="F105" s="18">
        <f t="shared" si="6"/>
        <v>0.21951219512195122</v>
      </c>
      <c r="G105" s="16">
        <v>6</v>
      </c>
      <c r="H105" s="18">
        <f t="shared" si="7"/>
        <v>0.66666666666666663</v>
      </c>
      <c r="I105" s="15">
        <v>1</v>
      </c>
    </row>
    <row r="106" spans="1:11" x14ac:dyDescent="0.2">
      <c r="A106" s="16">
        <v>2017</v>
      </c>
      <c r="B106" s="17">
        <v>42935</v>
      </c>
      <c r="C106" s="16">
        <v>1</v>
      </c>
      <c r="D106" s="16">
        <v>13</v>
      </c>
      <c r="E106" s="16">
        <v>39</v>
      </c>
      <c r="F106" s="18">
        <f t="shared" si="6"/>
        <v>0.33333333333333331</v>
      </c>
      <c r="G106" s="16">
        <v>7</v>
      </c>
      <c r="H106" s="18">
        <f t="shared" si="7"/>
        <v>0.53846153846153844</v>
      </c>
      <c r="I106" s="15">
        <v>1</v>
      </c>
    </row>
    <row r="107" spans="1:11" x14ac:dyDescent="0.2">
      <c r="A107" s="16">
        <v>2017</v>
      </c>
      <c r="B107" s="17">
        <v>42951</v>
      </c>
      <c r="C107" s="16">
        <v>0</v>
      </c>
      <c r="D107" s="16">
        <v>4</v>
      </c>
      <c r="E107" s="16">
        <v>33</v>
      </c>
      <c r="F107" s="18">
        <f t="shared" si="6"/>
        <v>0.12121212121212122</v>
      </c>
      <c r="G107" s="16">
        <v>0</v>
      </c>
      <c r="H107" s="18">
        <f t="shared" si="7"/>
        <v>0</v>
      </c>
      <c r="I107" s="15">
        <v>1</v>
      </c>
    </row>
    <row r="108" spans="1:11" x14ac:dyDescent="0.2">
      <c r="A108" s="6">
        <v>2017</v>
      </c>
      <c r="B108" s="7">
        <v>43002</v>
      </c>
      <c r="C108" s="6">
        <v>0</v>
      </c>
      <c r="D108" s="6">
        <v>8</v>
      </c>
      <c r="E108" s="6">
        <v>37</v>
      </c>
      <c r="F108" s="8">
        <f t="shared" si="6"/>
        <v>0.21621621621621623</v>
      </c>
      <c r="G108" s="6">
        <v>2</v>
      </c>
      <c r="H108" s="8">
        <f t="shared" si="7"/>
        <v>0.25</v>
      </c>
      <c r="I108" s="6">
        <v>1</v>
      </c>
      <c r="K108" s="3">
        <f>AVERAGE(H103:H108)</f>
        <v>0.42307692307692307</v>
      </c>
    </row>
    <row r="109" spans="1:11" x14ac:dyDescent="0.2">
      <c r="A109" s="16">
        <v>2018</v>
      </c>
      <c r="B109" s="17">
        <v>43555</v>
      </c>
      <c r="C109" s="16">
        <v>1</v>
      </c>
      <c r="D109" s="16">
        <v>11</v>
      </c>
      <c r="E109" s="16">
        <v>40</v>
      </c>
      <c r="F109" s="18">
        <f t="shared" si="6"/>
        <v>0.27500000000000002</v>
      </c>
      <c r="G109" s="16">
        <v>6</v>
      </c>
      <c r="H109" s="18">
        <f t="shared" si="7"/>
        <v>0.54545454545454541</v>
      </c>
      <c r="I109" s="15">
        <v>0</v>
      </c>
    </row>
    <row r="110" spans="1:11" x14ac:dyDescent="0.2">
      <c r="A110" s="16">
        <v>2018</v>
      </c>
      <c r="B110" s="17">
        <v>43195</v>
      </c>
      <c r="C110" s="16">
        <v>1</v>
      </c>
      <c r="D110" s="16">
        <v>8</v>
      </c>
      <c r="E110" s="16">
        <v>39</v>
      </c>
      <c r="F110" s="18">
        <f t="shared" si="6"/>
        <v>0.20512820512820512</v>
      </c>
      <c r="G110" s="16">
        <v>8</v>
      </c>
      <c r="H110" s="18">
        <f t="shared" si="7"/>
        <v>1</v>
      </c>
      <c r="I110" s="15">
        <v>0</v>
      </c>
    </row>
    <row r="111" spans="1:11" x14ac:dyDescent="0.2">
      <c r="A111" s="16">
        <v>2018</v>
      </c>
      <c r="B111" s="17">
        <v>43200</v>
      </c>
      <c r="C111" s="16">
        <v>1</v>
      </c>
      <c r="D111" s="16">
        <v>9</v>
      </c>
      <c r="E111" s="16">
        <v>40</v>
      </c>
      <c r="F111" s="18">
        <f t="shared" si="6"/>
        <v>0.22500000000000001</v>
      </c>
      <c r="G111" s="16">
        <v>8</v>
      </c>
      <c r="H111" s="18">
        <f t="shared" si="7"/>
        <v>0.88888888888888884</v>
      </c>
      <c r="I111" s="15">
        <v>0</v>
      </c>
    </row>
    <row r="112" spans="1:11" x14ac:dyDescent="0.2">
      <c r="A112" s="16">
        <v>2018</v>
      </c>
      <c r="B112" s="17">
        <v>43206</v>
      </c>
      <c r="C112" s="16">
        <v>0</v>
      </c>
      <c r="D112" s="16">
        <v>10</v>
      </c>
      <c r="E112" s="16">
        <v>39</v>
      </c>
      <c r="F112" s="18">
        <f t="shared" si="6"/>
        <v>0.25641025641025639</v>
      </c>
      <c r="G112" s="16">
        <v>6</v>
      </c>
      <c r="H112" s="18">
        <f t="shared" si="7"/>
        <v>0.6</v>
      </c>
      <c r="I112" s="15">
        <v>0</v>
      </c>
    </row>
    <row r="113" spans="1:9" x14ac:dyDescent="0.2">
      <c r="A113" s="16">
        <v>2018</v>
      </c>
      <c r="B113" s="17">
        <v>43211</v>
      </c>
      <c r="C113" s="16">
        <v>0</v>
      </c>
      <c r="D113" s="16">
        <v>7</v>
      </c>
      <c r="E113" s="16">
        <v>38</v>
      </c>
      <c r="F113" s="18">
        <f t="shared" si="6"/>
        <v>0.18421052631578946</v>
      </c>
      <c r="G113" s="16">
        <v>3</v>
      </c>
      <c r="H113" s="18">
        <f t="shared" si="7"/>
        <v>0.42857142857142855</v>
      </c>
      <c r="I113" s="15">
        <v>0</v>
      </c>
    </row>
    <row r="114" spans="1:9" x14ac:dyDescent="0.2">
      <c r="A114" s="16">
        <v>2018</v>
      </c>
      <c r="B114" s="17">
        <v>43217</v>
      </c>
      <c r="C114" s="16">
        <v>1</v>
      </c>
      <c r="D114" s="16">
        <v>9</v>
      </c>
      <c r="E114" s="16">
        <v>39</v>
      </c>
      <c r="F114" s="18">
        <f t="shared" si="6"/>
        <v>0.23076923076923078</v>
      </c>
      <c r="G114" s="16">
        <v>5</v>
      </c>
      <c r="H114" s="18">
        <f t="shared" si="7"/>
        <v>0.55555555555555558</v>
      </c>
      <c r="I114" s="15">
        <v>0</v>
      </c>
    </row>
    <row r="115" spans="1:9" x14ac:dyDescent="0.2">
      <c r="A115" s="16">
        <v>2018</v>
      </c>
      <c r="B115" s="17">
        <v>43222</v>
      </c>
      <c r="C115" s="16">
        <v>0</v>
      </c>
      <c r="D115" s="16">
        <v>3</v>
      </c>
      <c r="E115" s="16">
        <v>31</v>
      </c>
      <c r="F115" s="18">
        <f t="shared" si="6"/>
        <v>9.6774193548387094E-2</v>
      </c>
      <c r="G115" s="16">
        <v>0</v>
      </c>
      <c r="H115" s="18">
        <f t="shared" si="7"/>
        <v>0</v>
      </c>
      <c r="I115" s="15">
        <v>0</v>
      </c>
    </row>
    <row r="116" spans="1:9" x14ac:dyDescent="0.2">
      <c r="A116" s="16">
        <v>2018</v>
      </c>
      <c r="B116" s="17">
        <v>43238</v>
      </c>
      <c r="C116" s="16">
        <v>1</v>
      </c>
      <c r="D116" s="16">
        <v>6</v>
      </c>
      <c r="E116" s="16">
        <v>36</v>
      </c>
      <c r="F116" s="18">
        <f t="shared" si="6"/>
        <v>0.16666666666666666</v>
      </c>
      <c r="G116" s="16">
        <v>3</v>
      </c>
      <c r="H116" s="18">
        <f t="shared" si="7"/>
        <v>0.5</v>
      </c>
      <c r="I116" s="15">
        <v>0</v>
      </c>
    </row>
    <row r="117" spans="1:9" x14ac:dyDescent="0.2">
      <c r="A117" s="16">
        <v>2018</v>
      </c>
      <c r="B117" s="17">
        <v>43243</v>
      </c>
      <c r="C117" s="16">
        <v>0</v>
      </c>
      <c r="D117" s="16">
        <v>6</v>
      </c>
      <c r="E117" s="16">
        <v>35</v>
      </c>
      <c r="F117" s="18">
        <f t="shared" si="6"/>
        <v>0.17142857142857143</v>
      </c>
      <c r="G117" s="16">
        <v>1</v>
      </c>
      <c r="H117" s="18">
        <f t="shared" si="7"/>
        <v>0.16666666666666666</v>
      </c>
      <c r="I117" s="15">
        <v>0</v>
      </c>
    </row>
    <row r="118" spans="1:9" x14ac:dyDescent="0.2">
      <c r="A118" s="16">
        <v>2018</v>
      </c>
      <c r="B118" s="17">
        <v>43248</v>
      </c>
      <c r="C118" s="16">
        <v>0</v>
      </c>
      <c r="D118" s="16">
        <v>7</v>
      </c>
      <c r="E118" s="16">
        <v>37</v>
      </c>
      <c r="F118" s="18">
        <f t="shared" si="6"/>
        <v>0.1891891891891892</v>
      </c>
      <c r="G118" s="16">
        <v>3</v>
      </c>
      <c r="H118" s="18">
        <f t="shared" si="7"/>
        <v>0.42857142857142855</v>
      </c>
      <c r="I118" s="15">
        <v>0</v>
      </c>
    </row>
    <row r="119" spans="1:9" x14ac:dyDescent="0.2">
      <c r="A119" s="16">
        <v>2018</v>
      </c>
      <c r="B119" s="17">
        <v>43253</v>
      </c>
      <c r="C119" s="16">
        <v>0</v>
      </c>
      <c r="D119" s="16">
        <v>7</v>
      </c>
      <c r="E119" s="16">
        <v>54</v>
      </c>
      <c r="F119" s="18">
        <f t="shared" si="6"/>
        <v>0.12962962962962962</v>
      </c>
      <c r="G119" s="16">
        <v>1</v>
      </c>
      <c r="H119" s="18">
        <f t="shared" si="7"/>
        <v>0.14285714285714285</v>
      </c>
      <c r="I119" s="15">
        <v>0</v>
      </c>
    </row>
    <row r="120" spans="1:9" x14ac:dyDescent="0.2">
      <c r="A120" s="16">
        <v>2018</v>
      </c>
      <c r="B120" s="17">
        <v>43259</v>
      </c>
      <c r="C120" s="16">
        <v>0</v>
      </c>
      <c r="D120" s="16">
        <v>4</v>
      </c>
      <c r="E120" s="16">
        <v>32</v>
      </c>
      <c r="F120" s="18">
        <f t="shared" si="6"/>
        <v>0.125</v>
      </c>
      <c r="G120" s="16">
        <v>1</v>
      </c>
      <c r="H120" s="18">
        <f t="shared" si="7"/>
        <v>0.25</v>
      </c>
      <c r="I120" s="15">
        <v>0</v>
      </c>
    </row>
    <row r="121" spans="1:9" x14ac:dyDescent="0.2">
      <c r="A121" s="16">
        <v>2018</v>
      </c>
      <c r="B121" s="17">
        <v>43264</v>
      </c>
      <c r="C121" s="16">
        <v>0</v>
      </c>
      <c r="D121" s="16">
        <v>2</v>
      </c>
      <c r="E121" s="16">
        <v>31</v>
      </c>
      <c r="F121" s="18">
        <f t="shared" si="6"/>
        <v>6.4516129032258063E-2</v>
      </c>
      <c r="G121" s="16">
        <v>0</v>
      </c>
      <c r="H121" s="18">
        <f t="shared" si="7"/>
        <v>0</v>
      </c>
      <c r="I121" s="15">
        <v>0</v>
      </c>
    </row>
    <row r="122" spans="1:9" x14ac:dyDescent="0.2">
      <c r="A122" s="16">
        <v>2018</v>
      </c>
      <c r="B122" s="17">
        <v>43269</v>
      </c>
      <c r="C122" s="16">
        <v>1</v>
      </c>
      <c r="D122" s="16">
        <v>15</v>
      </c>
      <c r="E122" s="16">
        <v>47</v>
      </c>
      <c r="F122" s="18">
        <f t="shared" si="6"/>
        <v>0.31914893617021278</v>
      </c>
      <c r="G122" s="16">
        <v>12</v>
      </c>
      <c r="H122" s="18">
        <f t="shared" si="7"/>
        <v>0.8</v>
      </c>
      <c r="I122" s="15">
        <v>0</v>
      </c>
    </row>
    <row r="123" spans="1:9" x14ac:dyDescent="0.2">
      <c r="A123" s="16">
        <v>2018</v>
      </c>
      <c r="B123" s="17">
        <v>43274</v>
      </c>
      <c r="C123" s="16">
        <v>0</v>
      </c>
      <c r="D123" s="16">
        <v>10</v>
      </c>
      <c r="E123" s="16">
        <v>38</v>
      </c>
      <c r="F123" s="18">
        <f t="shared" si="6"/>
        <v>0.26315789473684209</v>
      </c>
      <c r="G123" s="16">
        <v>3</v>
      </c>
      <c r="H123" s="18">
        <f t="shared" si="7"/>
        <v>0.3</v>
      </c>
      <c r="I123" s="15">
        <v>0</v>
      </c>
    </row>
    <row r="124" spans="1:9" x14ac:dyDescent="0.2">
      <c r="A124" s="16">
        <v>2018</v>
      </c>
      <c r="B124" s="17">
        <v>43281</v>
      </c>
      <c r="C124" s="16">
        <v>0</v>
      </c>
      <c r="D124" s="16">
        <v>6</v>
      </c>
      <c r="E124" s="16">
        <v>34</v>
      </c>
      <c r="F124" s="18">
        <f t="shared" si="6"/>
        <v>0.17647058823529413</v>
      </c>
      <c r="G124" s="16">
        <v>2</v>
      </c>
      <c r="H124" s="18">
        <f t="shared" si="7"/>
        <v>0.33333333333333331</v>
      </c>
      <c r="I124" s="15">
        <v>0</v>
      </c>
    </row>
    <row r="125" spans="1:9" x14ac:dyDescent="0.2">
      <c r="A125" s="16">
        <v>2018</v>
      </c>
      <c r="B125" s="17">
        <v>43287</v>
      </c>
      <c r="C125" s="16">
        <v>1</v>
      </c>
      <c r="D125" s="16">
        <v>6</v>
      </c>
      <c r="E125" s="16">
        <v>38</v>
      </c>
      <c r="F125" s="18">
        <f t="shared" si="6"/>
        <v>0.15789473684210525</v>
      </c>
      <c r="G125" s="16">
        <v>5</v>
      </c>
      <c r="H125" s="18">
        <f t="shared" si="7"/>
        <v>0.83333333333333337</v>
      </c>
      <c r="I125" s="15">
        <v>0</v>
      </c>
    </row>
    <row r="126" spans="1:9" x14ac:dyDescent="0.2">
      <c r="A126" s="16">
        <v>2018</v>
      </c>
      <c r="B126" s="17">
        <v>43292</v>
      </c>
      <c r="C126" s="16">
        <v>1</v>
      </c>
      <c r="D126" s="16">
        <v>4</v>
      </c>
      <c r="E126" s="16">
        <v>36</v>
      </c>
      <c r="F126" s="18">
        <f t="shared" si="6"/>
        <v>0.1111111111111111</v>
      </c>
      <c r="G126" s="16">
        <v>3</v>
      </c>
      <c r="H126" s="18">
        <f t="shared" si="7"/>
        <v>0.75</v>
      </c>
      <c r="I126" s="15">
        <v>0</v>
      </c>
    </row>
    <row r="127" spans="1:9" x14ac:dyDescent="0.2">
      <c r="A127" s="16">
        <v>2018</v>
      </c>
      <c r="B127" s="17">
        <v>43304</v>
      </c>
      <c r="C127" s="16">
        <v>0</v>
      </c>
      <c r="D127" s="16">
        <v>7</v>
      </c>
      <c r="E127" s="16">
        <v>38</v>
      </c>
      <c r="F127" s="18">
        <f t="shared" si="6"/>
        <v>0.18421052631578946</v>
      </c>
      <c r="G127" s="16">
        <v>2</v>
      </c>
      <c r="H127" s="18">
        <f t="shared" si="7"/>
        <v>0.2857142857142857</v>
      </c>
      <c r="I127" s="15">
        <v>0</v>
      </c>
    </row>
    <row r="128" spans="1:9" x14ac:dyDescent="0.2">
      <c r="A128" s="16">
        <v>2018</v>
      </c>
      <c r="B128" s="17">
        <v>43315</v>
      </c>
      <c r="C128" s="16">
        <v>0</v>
      </c>
      <c r="D128" s="16">
        <v>2</v>
      </c>
      <c r="E128" s="16">
        <v>32</v>
      </c>
      <c r="F128" s="18">
        <f t="shared" si="6"/>
        <v>6.25E-2</v>
      </c>
      <c r="G128" s="16">
        <v>1</v>
      </c>
      <c r="H128" s="18">
        <f t="shared" si="7"/>
        <v>0.5</v>
      </c>
      <c r="I128" s="15">
        <v>0</v>
      </c>
    </row>
    <row r="129" spans="1:11" x14ac:dyDescent="0.2">
      <c r="A129" s="16">
        <v>2018</v>
      </c>
      <c r="B129" s="17">
        <v>43320</v>
      </c>
      <c r="C129" s="16">
        <v>1</v>
      </c>
      <c r="D129" s="16">
        <v>8</v>
      </c>
      <c r="E129" s="16">
        <v>44</v>
      </c>
      <c r="F129" s="18">
        <f t="shared" si="6"/>
        <v>0.18181818181818182</v>
      </c>
      <c r="G129" s="16">
        <v>8</v>
      </c>
      <c r="H129" s="18">
        <f t="shared" si="7"/>
        <v>1</v>
      </c>
      <c r="I129" s="15">
        <v>0</v>
      </c>
    </row>
    <row r="130" spans="1:11" x14ac:dyDescent="0.2">
      <c r="A130" s="16">
        <v>2018</v>
      </c>
      <c r="B130" s="17">
        <v>43330</v>
      </c>
      <c r="C130" s="16">
        <v>1</v>
      </c>
      <c r="D130" s="16">
        <v>7</v>
      </c>
      <c r="E130" s="16">
        <v>36</v>
      </c>
      <c r="F130" s="18">
        <f t="shared" ref="F130:F161" si="8">D130/E130</f>
        <v>0.19444444444444445</v>
      </c>
      <c r="G130" s="16">
        <v>1</v>
      </c>
      <c r="H130" s="18">
        <f t="shared" ref="H130:H161" si="9">G130/D130</f>
        <v>0.14285714285714285</v>
      </c>
      <c r="I130" s="15">
        <v>0</v>
      </c>
    </row>
    <row r="131" spans="1:11" x14ac:dyDescent="0.2">
      <c r="A131" s="16">
        <v>2018</v>
      </c>
      <c r="B131" s="17">
        <v>43335</v>
      </c>
      <c r="C131" s="16">
        <v>0</v>
      </c>
      <c r="D131" s="16">
        <v>5</v>
      </c>
      <c r="E131" s="16">
        <v>33</v>
      </c>
      <c r="F131" s="18">
        <f t="shared" si="8"/>
        <v>0.15151515151515152</v>
      </c>
      <c r="G131" s="16">
        <v>1</v>
      </c>
      <c r="H131" s="18">
        <f t="shared" si="9"/>
        <v>0.2</v>
      </c>
      <c r="I131" s="15">
        <v>0</v>
      </c>
    </row>
    <row r="132" spans="1:11" x14ac:dyDescent="0.2">
      <c r="A132" s="16">
        <v>2018</v>
      </c>
      <c r="B132" s="17">
        <v>43346</v>
      </c>
      <c r="C132" s="16">
        <v>1</v>
      </c>
      <c r="D132" s="16">
        <v>11</v>
      </c>
      <c r="E132" s="16">
        <v>39</v>
      </c>
      <c r="F132" s="18">
        <f t="shared" si="8"/>
        <v>0.28205128205128205</v>
      </c>
      <c r="G132" s="16">
        <v>4</v>
      </c>
      <c r="H132" s="18">
        <f t="shared" si="9"/>
        <v>0.36363636363636365</v>
      </c>
      <c r="I132" s="15">
        <v>0</v>
      </c>
    </row>
    <row r="133" spans="1:11" x14ac:dyDescent="0.2">
      <c r="A133" s="16">
        <v>2018</v>
      </c>
      <c r="B133" s="17">
        <v>43354</v>
      </c>
      <c r="C133" s="16">
        <v>0</v>
      </c>
      <c r="D133" s="16">
        <v>5</v>
      </c>
      <c r="E133" s="16">
        <v>37</v>
      </c>
      <c r="F133" s="18">
        <f t="shared" si="8"/>
        <v>0.13513513513513514</v>
      </c>
      <c r="G133" s="16">
        <v>3</v>
      </c>
      <c r="H133" s="18">
        <f t="shared" si="9"/>
        <v>0.6</v>
      </c>
      <c r="I133" s="15">
        <v>0</v>
      </c>
    </row>
    <row r="134" spans="1:11" x14ac:dyDescent="0.2">
      <c r="A134" s="16">
        <v>2018</v>
      </c>
      <c r="B134" s="17">
        <v>43359</v>
      </c>
      <c r="C134" s="16">
        <v>0</v>
      </c>
      <c r="D134" s="16">
        <v>6</v>
      </c>
      <c r="E134" s="16">
        <v>36</v>
      </c>
      <c r="F134" s="18">
        <f t="shared" si="8"/>
        <v>0.16666666666666666</v>
      </c>
      <c r="G134" s="16">
        <v>3</v>
      </c>
      <c r="H134" s="18">
        <f t="shared" si="9"/>
        <v>0.5</v>
      </c>
      <c r="I134" s="15">
        <v>0</v>
      </c>
    </row>
    <row r="135" spans="1:11" x14ac:dyDescent="0.2">
      <c r="A135" s="16">
        <v>2018</v>
      </c>
      <c r="B135" s="17">
        <v>43364</v>
      </c>
      <c r="C135" s="16">
        <v>1</v>
      </c>
      <c r="D135" s="16">
        <v>8</v>
      </c>
      <c r="E135" s="16">
        <v>40</v>
      </c>
      <c r="F135" s="18">
        <f t="shared" si="8"/>
        <v>0.2</v>
      </c>
      <c r="G135" s="16">
        <v>4</v>
      </c>
      <c r="H135" s="18">
        <f t="shared" si="9"/>
        <v>0.5</v>
      </c>
      <c r="I135" s="15">
        <v>0</v>
      </c>
    </row>
    <row r="136" spans="1:11" x14ac:dyDescent="0.2">
      <c r="A136" s="16">
        <v>2018</v>
      </c>
      <c r="B136" s="17">
        <v>43369</v>
      </c>
      <c r="C136" s="16">
        <v>1</v>
      </c>
      <c r="D136" s="16">
        <v>6</v>
      </c>
      <c r="E136" s="16">
        <v>34</v>
      </c>
      <c r="F136" s="18">
        <f t="shared" si="8"/>
        <v>0.17647058823529413</v>
      </c>
      <c r="G136" s="16">
        <v>3</v>
      </c>
      <c r="H136" s="18">
        <f t="shared" si="9"/>
        <v>0.5</v>
      </c>
      <c r="I136" s="16">
        <v>0</v>
      </c>
      <c r="K136" s="3">
        <f>AVERAGE(H109:H136)</f>
        <v>0.46840857555143262</v>
      </c>
    </row>
    <row r="137" spans="1:11" x14ac:dyDescent="0.2">
      <c r="A137" s="16">
        <v>2018</v>
      </c>
      <c r="B137" s="17">
        <v>43233</v>
      </c>
      <c r="C137" s="16">
        <v>0</v>
      </c>
      <c r="D137" s="16">
        <v>11</v>
      </c>
      <c r="E137" s="16">
        <v>38</v>
      </c>
      <c r="F137" s="18">
        <f t="shared" si="8"/>
        <v>0.28947368421052633</v>
      </c>
      <c r="G137" s="16">
        <v>2</v>
      </c>
      <c r="H137" s="18">
        <f t="shared" si="9"/>
        <v>0.18181818181818182</v>
      </c>
      <c r="I137" s="15">
        <v>1</v>
      </c>
    </row>
    <row r="138" spans="1:11" x14ac:dyDescent="0.2">
      <c r="A138" s="16">
        <v>2018</v>
      </c>
      <c r="B138" s="17">
        <v>43309</v>
      </c>
      <c r="C138" s="16">
        <v>0</v>
      </c>
      <c r="D138" s="16">
        <v>6</v>
      </c>
      <c r="E138" s="16">
        <v>35</v>
      </c>
      <c r="F138" s="18">
        <f t="shared" si="8"/>
        <v>0.17142857142857143</v>
      </c>
      <c r="G138" s="16">
        <v>0</v>
      </c>
      <c r="H138" s="18">
        <f t="shared" si="9"/>
        <v>0</v>
      </c>
      <c r="I138" s="15">
        <v>1</v>
      </c>
    </row>
    <row r="139" spans="1:11" x14ac:dyDescent="0.2">
      <c r="A139" s="6">
        <v>2018</v>
      </c>
      <c r="B139" s="7">
        <v>43325</v>
      </c>
      <c r="C139" s="6">
        <v>1</v>
      </c>
      <c r="D139" s="6">
        <v>15</v>
      </c>
      <c r="E139" s="6">
        <v>44</v>
      </c>
      <c r="F139" s="8">
        <f t="shared" si="8"/>
        <v>0.34090909090909088</v>
      </c>
      <c r="G139" s="6">
        <v>8</v>
      </c>
      <c r="H139" s="8">
        <f t="shared" si="9"/>
        <v>0.53333333333333333</v>
      </c>
      <c r="I139" s="19">
        <v>1</v>
      </c>
      <c r="K139" s="3">
        <f>AVERAGE(H137:H139)</f>
        <v>0.23838383838383836</v>
      </c>
    </row>
    <row r="140" spans="1:11" x14ac:dyDescent="0.2">
      <c r="A140" s="16">
        <v>2019</v>
      </c>
      <c r="B140" s="17">
        <v>43558</v>
      </c>
      <c r="C140" s="16">
        <v>1</v>
      </c>
      <c r="D140" s="16">
        <v>10</v>
      </c>
      <c r="E140" s="16">
        <v>41</v>
      </c>
      <c r="F140" s="18">
        <f t="shared" si="8"/>
        <v>0.24390243902439024</v>
      </c>
      <c r="G140" s="16">
        <v>6</v>
      </c>
      <c r="H140" s="18">
        <f t="shared" si="9"/>
        <v>0.6</v>
      </c>
      <c r="I140" s="15">
        <v>0</v>
      </c>
    </row>
    <row r="141" spans="1:11" x14ac:dyDescent="0.2">
      <c r="A141" s="16">
        <v>2019</v>
      </c>
      <c r="B141" s="17">
        <v>43564</v>
      </c>
      <c r="C141" s="16">
        <v>0</v>
      </c>
      <c r="D141" s="16">
        <v>11</v>
      </c>
      <c r="E141" s="16">
        <v>45</v>
      </c>
      <c r="F141" s="18">
        <f t="shared" si="8"/>
        <v>0.24444444444444444</v>
      </c>
      <c r="G141" s="16">
        <v>8</v>
      </c>
      <c r="H141" s="18">
        <f t="shared" si="9"/>
        <v>0.72727272727272729</v>
      </c>
      <c r="I141" s="15">
        <v>0</v>
      </c>
    </row>
    <row r="142" spans="1:11" x14ac:dyDescent="0.2">
      <c r="A142" s="16">
        <v>2019</v>
      </c>
      <c r="B142" s="17">
        <v>43569</v>
      </c>
      <c r="C142" s="16">
        <v>0</v>
      </c>
      <c r="D142" s="16">
        <v>11</v>
      </c>
      <c r="E142" s="16">
        <v>40</v>
      </c>
      <c r="F142" s="18">
        <f t="shared" si="8"/>
        <v>0.27500000000000002</v>
      </c>
      <c r="G142" s="16">
        <v>3</v>
      </c>
      <c r="H142" s="18">
        <f t="shared" si="9"/>
        <v>0.27272727272727271</v>
      </c>
      <c r="I142" s="15">
        <v>0</v>
      </c>
    </row>
    <row r="143" spans="1:11" x14ac:dyDescent="0.2">
      <c r="A143" s="16">
        <v>2019</v>
      </c>
      <c r="B143" s="17">
        <v>43581</v>
      </c>
      <c r="C143" s="16">
        <v>0</v>
      </c>
      <c r="D143" s="16">
        <v>7</v>
      </c>
      <c r="E143" s="16">
        <v>38</v>
      </c>
      <c r="F143" s="18">
        <f t="shared" si="8"/>
        <v>0.18421052631578946</v>
      </c>
      <c r="G143" s="16">
        <v>2</v>
      </c>
      <c r="H143" s="18">
        <f t="shared" si="9"/>
        <v>0.2857142857142857</v>
      </c>
      <c r="I143" s="15">
        <v>0</v>
      </c>
    </row>
    <row r="144" spans="1:11" x14ac:dyDescent="0.2">
      <c r="A144" s="16">
        <v>2019</v>
      </c>
      <c r="B144" s="17">
        <v>43586</v>
      </c>
      <c r="C144" s="16">
        <v>0</v>
      </c>
      <c r="D144" s="16">
        <v>5</v>
      </c>
      <c r="E144" s="16">
        <v>33</v>
      </c>
      <c r="F144" s="18">
        <f t="shared" si="8"/>
        <v>0.15151515151515152</v>
      </c>
      <c r="G144" s="16">
        <v>0</v>
      </c>
      <c r="H144" s="18">
        <f t="shared" si="9"/>
        <v>0</v>
      </c>
      <c r="I144" s="15">
        <v>0</v>
      </c>
    </row>
    <row r="145" spans="1:9" x14ac:dyDescent="0.2">
      <c r="A145" s="16">
        <v>2019</v>
      </c>
      <c r="B145" s="17">
        <v>43591</v>
      </c>
      <c r="C145" s="16">
        <v>0</v>
      </c>
      <c r="D145" s="16">
        <v>4</v>
      </c>
      <c r="E145" s="16">
        <v>32</v>
      </c>
      <c r="F145" s="18">
        <f t="shared" si="8"/>
        <v>0.125</v>
      </c>
      <c r="G145" s="16">
        <v>0</v>
      </c>
      <c r="H145" s="18">
        <f t="shared" si="9"/>
        <v>0</v>
      </c>
      <c r="I145" s="15">
        <v>0</v>
      </c>
    </row>
    <row r="146" spans="1:9" x14ac:dyDescent="0.2">
      <c r="A146" s="16">
        <v>2019</v>
      </c>
      <c r="B146" s="17">
        <v>43596</v>
      </c>
      <c r="C146" s="16">
        <v>1</v>
      </c>
      <c r="D146" s="16">
        <v>9</v>
      </c>
      <c r="E146" s="16">
        <v>35</v>
      </c>
      <c r="F146" s="18">
        <f t="shared" si="8"/>
        <v>0.25714285714285712</v>
      </c>
      <c r="G146" s="16">
        <v>4</v>
      </c>
      <c r="H146" s="18">
        <f t="shared" si="9"/>
        <v>0.44444444444444442</v>
      </c>
      <c r="I146" s="15">
        <v>0</v>
      </c>
    </row>
    <row r="147" spans="1:9" x14ac:dyDescent="0.2">
      <c r="A147" s="16">
        <v>2019</v>
      </c>
      <c r="B147" s="17">
        <v>43602</v>
      </c>
      <c r="C147" s="16">
        <v>0</v>
      </c>
      <c r="D147" s="16">
        <v>12</v>
      </c>
      <c r="E147" s="16">
        <v>42</v>
      </c>
      <c r="F147" s="18">
        <f t="shared" si="8"/>
        <v>0.2857142857142857</v>
      </c>
      <c r="G147" s="16">
        <v>6</v>
      </c>
      <c r="H147" s="18">
        <f t="shared" si="9"/>
        <v>0.5</v>
      </c>
      <c r="I147" s="15">
        <v>0</v>
      </c>
    </row>
    <row r="148" spans="1:9" x14ac:dyDescent="0.2">
      <c r="A148" s="16">
        <v>2019</v>
      </c>
      <c r="B148" s="17">
        <v>43623</v>
      </c>
      <c r="C148" s="16">
        <v>0</v>
      </c>
      <c r="D148" s="16">
        <v>6</v>
      </c>
      <c r="E148" s="16">
        <v>34</v>
      </c>
      <c r="F148" s="18">
        <f t="shared" si="8"/>
        <v>0.17647058823529413</v>
      </c>
      <c r="G148" s="16">
        <v>1</v>
      </c>
      <c r="H148" s="18">
        <f t="shared" si="9"/>
        <v>0.16666666666666666</v>
      </c>
      <c r="I148" s="15">
        <v>0</v>
      </c>
    </row>
    <row r="149" spans="1:9" x14ac:dyDescent="0.2">
      <c r="A149" s="16">
        <v>2019</v>
      </c>
      <c r="B149" s="17">
        <v>43634</v>
      </c>
      <c r="C149" s="16">
        <v>1</v>
      </c>
      <c r="D149" s="16">
        <v>15</v>
      </c>
      <c r="E149" s="16">
        <v>48</v>
      </c>
      <c r="F149" s="18">
        <f t="shared" si="8"/>
        <v>0.3125</v>
      </c>
      <c r="G149" s="16">
        <v>10</v>
      </c>
      <c r="H149" s="18">
        <f t="shared" si="9"/>
        <v>0.66666666666666663</v>
      </c>
      <c r="I149" s="15">
        <v>0</v>
      </c>
    </row>
    <row r="150" spans="1:9" x14ac:dyDescent="0.2">
      <c r="A150" s="16">
        <v>2019</v>
      </c>
      <c r="B150" s="17">
        <v>43639</v>
      </c>
      <c r="C150" s="16">
        <v>0</v>
      </c>
      <c r="D150" s="16">
        <v>7</v>
      </c>
      <c r="E150" s="16">
        <v>34</v>
      </c>
      <c r="F150" s="18">
        <f t="shared" si="8"/>
        <v>0.20588235294117646</v>
      </c>
      <c r="G150" s="16">
        <v>3</v>
      </c>
      <c r="H150" s="18">
        <f t="shared" si="9"/>
        <v>0.42857142857142855</v>
      </c>
      <c r="I150" s="15">
        <v>0</v>
      </c>
    </row>
    <row r="151" spans="1:9" x14ac:dyDescent="0.2">
      <c r="A151" s="16">
        <v>2019</v>
      </c>
      <c r="B151" s="17">
        <v>43651</v>
      </c>
      <c r="C151" s="16">
        <v>0</v>
      </c>
      <c r="D151" s="16">
        <v>7</v>
      </c>
      <c r="E151" s="16">
        <v>41</v>
      </c>
      <c r="F151" s="18">
        <f t="shared" si="8"/>
        <v>0.17073170731707318</v>
      </c>
      <c r="G151" s="16">
        <v>2</v>
      </c>
      <c r="H151" s="18">
        <f t="shared" si="9"/>
        <v>0.2857142857142857</v>
      </c>
      <c r="I151" s="15">
        <v>0</v>
      </c>
    </row>
    <row r="152" spans="1:9" x14ac:dyDescent="0.2">
      <c r="A152" s="16">
        <v>2019</v>
      </c>
      <c r="B152" s="17">
        <v>43660</v>
      </c>
      <c r="C152" s="16">
        <v>1</v>
      </c>
      <c r="D152" s="16">
        <v>12</v>
      </c>
      <c r="E152" s="16">
        <v>43</v>
      </c>
      <c r="F152" s="18">
        <f t="shared" si="8"/>
        <v>0.27906976744186046</v>
      </c>
      <c r="G152" s="16">
        <v>6</v>
      </c>
      <c r="H152" s="18">
        <f t="shared" si="9"/>
        <v>0.5</v>
      </c>
      <c r="I152" s="15">
        <v>0</v>
      </c>
    </row>
    <row r="153" spans="1:9" x14ac:dyDescent="0.2">
      <c r="A153" s="16">
        <v>2019</v>
      </c>
      <c r="B153" s="17">
        <v>43665</v>
      </c>
      <c r="C153" s="16">
        <v>0</v>
      </c>
      <c r="D153" s="16">
        <v>3</v>
      </c>
      <c r="E153" s="16">
        <v>35</v>
      </c>
      <c r="F153" s="18">
        <f t="shared" si="8"/>
        <v>8.5714285714285715E-2</v>
      </c>
      <c r="G153" s="16">
        <v>0</v>
      </c>
      <c r="H153" s="18">
        <f t="shared" si="9"/>
        <v>0</v>
      </c>
      <c r="I153" s="15">
        <v>0</v>
      </c>
    </row>
    <row r="154" spans="1:9" x14ac:dyDescent="0.2">
      <c r="A154" s="16">
        <v>2019</v>
      </c>
      <c r="B154" s="17">
        <v>43671</v>
      </c>
      <c r="C154" s="16">
        <v>1</v>
      </c>
      <c r="D154" s="16">
        <v>12</v>
      </c>
      <c r="E154" s="16">
        <v>42</v>
      </c>
      <c r="F154" s="18">
        <f t="shared" si="8"/>
        <v>0.2857142857142857</v>
      </c>
      <c r="G154" s="16">
        <v>4</v>
      </c>
      <c r="H154" s="18">
        <f t="shared" si="9"/>
        <v>0.33333333333333331</v>
      </c>
      <c r="I154" s="16">
        <v>0</v>
      </c>
    </row>
    <row r="155" spans="1:9" x14ac:dyDescent="0.2">
      <c r="A155" s="16">
        <v>2019</v>
      </c>
      <c r="B155" s="17">
        <v>43677</v>
      </c>
      <c r="C155" s="16">
        <v>1</v>
      </c>
      <c r="D155" s="16">
        <v>6</v>
      </c>
      <c r="E155" s="16">
        <v>39</v>
      </c>
      <c r="F155" s="18">
        <f t="shared" si="8"/>
        <v>0.15384615384615385</v>
      </c>
      <c r="G155" s="16">
        <v>4</v>
      </c>
      <c r="H155" s="18">
        <f t="shared" si="9"/>
        <v>0.66666666666666663</v>
      </c>
      <c r="I155" s="16">
        <v>0</v>
      </c>
    </row>
    <row r="156" spans="1:9" x14ac:dyDescent="0.2">
      <c r="A156" s="16">
        <v>2019</v>
      </c>
      <c r="B156" s="17">
        <v>43682</v>
      </c>
      <c r="C156" s="16">
        <v>1</v>
      </c>
      <c r="D156" s="16">
        <v>6</v>
      </c>
      <c r="E156" s="16">
        <v>35</v>
      </c>
      <c r="F156" s="18">
        <f t="shared" si="8"/>
        <v>0.17142857142857143</v>
      </c>
      <c r="G156" s="16">
        <v>6</v>
      </c>
      <c r="H156" s="18">
        <f t="shared" si="9"/>
        <v>1</v>
      </c>
      <c r="I156" s="16">
        <v>0</v>
      </c>
    </row>
    <row r="157" spans="1:9" x14ac:dyDescent="0.2">
      <c r="A157" s="16">
        <v>2019</v>
      </c>
      <c r="B157" s="17">
        <v>43688</v>
      </c>
      <c r="C157" s="16">
        <v>0</v>
      </c>
      <c r="D157" s="16">
        <v>9</v>
      </c>
      <c r="E157" s="16">
        <v>41</v>
      </c>
      <c r="F157" s="18">
        <f t="shared" si="8"/>
        <v>0.21951219512195122</v>
      </c>
      <c r="G157" s="16">
        <v>4</v>
      </c>
      <c r="H157" s="18">
        <f t="shared" si="9"/>
        <v>0.44444444444444442</v>
      </c>
      <c r="I157" s="16">
        <v>0</v>
      </c>
    </row>
    <row r="158" spans="1:9" x14ac:dyDescent="0.2">
      <c r="A158" s="16">
        <v>2019</v>
      </c>
      <c r="B158" s="17">
        <v>43694</v>
      </c>
      <c r="C158" s="16">
        <v>1</v>
      </c>
      <c r="D158" s="16">
        <v>11</v>
      </c>
      <c r="E158" s="16">
        <v>41</v>
      </c>
      <c r="F158" s="18">
        <f t="shared" si="8"/>
        <v>0.26829268292682928</v>
      </c>
      <c r="G158" s="16">
        <v>4</v>
      </c>
      <c r="H158" s="18">
        <f t="shared" si="9"/>
        <v>0.36363636363636365</v>
      </c>
      <c r="I158" s="16">
        <v>0</v>
      </c>
    </row>
    <row r="159" spans="1:9" x14ac:dyDescent="0.2">
      <c r="A159" s="16">
        <v>2019</v>
      </c>
      <c r="B159" s="17">
        <v>43700</v>
      </c>
      <c r="C159" s="16">
        <v>0</v>
      </c>
      <c r="D159" s="16">
        <v>6</v>
      </c>
      <c r="E159" s="16">
        <v>52</v>
      </c>
      <c r="F159" s="18">
        <f t="shared" si="8"/>
        <v>0.11538461538461539</v>
      </c>
      <c r="G159" s="16">
        <v>1</v>
      </c>
      <c r="H159" s="18">
        <f t="shared" si="9"/>
        <v>0.16666666666666666</v>
      </c>
      <c r="I159" s="16">
        <v>0</v>
      </c>
    </row>
    <row r="160" spans="1:9" x14ac:dyDescent="0.2">
      <c r="A160" s="16">
        <v>2019</v>
      </c>
      <c r="B160" s="17">
        <v>43706</v>
      </c>
      <c r="C160" s="16">
        <v>0</v>
      </c>
      <c r="D160" s="16">
        <v>5</v>
      </c>
      <c r="E160" s="16">
        <v>35</v>
      </c>
      <c r="F160" s="18">
        <f t="shared" si="8"/>
        <v>0.14285714285714285</v>
      </c>
      <c r="G160" s="16">
        <v>1</v>
      </c>
      <c r="H160" s="18">
        <f t="shared" si="9"/>
        <v>0.2</v>
      </c>
      <c r="I160" s="16">
        <v>0</v>
      </c>
    </row>
    <row r="161" spans="1:11" x14ac:dyDescent="0.2">
      <c r="A161" s="16">
        <v>2019</v>
      </c>
      <c r="B161" s="17">
        <v>43717</v>
      </c>
      <c r="C161" s="16">
        <v>1</v>
      </c>
      <c r="D161" s="16">
        <v>9</v>
      </c>
      <c r="E161" s="16">
        <v>32</v>
      </c>
      <c r="F161" s="18">
        <f t="shared" si="8"/>
        <v>0.28125</v>
      </c>
      <c r="G161" s="16">
        <v>3</v>
      </c>
      <c r="H161" s="18">
        <f t="shared" si="9"/>
        <v>0.33333333333333331</v>
      </c>
      <c r="I161" s="16">
        <v>0</v>
      </c>
    </row>
    <row r="162" spans="1:11" x14ac:dyDescent="0.2">
      <c r="A162" s="16">
        <v>2019</v>
      </c>
      <c r="B162" s="17">
        <v>43733</v>
      </c>
      <c r="C162" s="16">
        <v>1</v>
      </c>
      <c r="D162" s="16">
        <v>12</v>
      </c>
      <c r="E162" s="16">
        <v>41</v>
      </c>
      <c r="F162" s="18">
        <f t="shared" ref="F162:F183" si="10">D162/E162</f>
        <v>0.29268292682926828</v>
      </c>
      <c r="G162" s="16">
        <v>10</v>
      </c>
      <c r="H162" s="18">
        <f t="shared" ref="H162:H183" si="11">G162/D162</f>
        <v>0.83333333333333337</v>
      </c>
      <c r="I162" s="16">
        <v>0</v>
      </c>
      <c r="K162" s="3">
        <f>AVERAGE(H140:H162)</f>
        <v>0.40083443126921386</v>
      </c>
    </row>
    <row r="163" spans="1:11" x14ac:dyDescent="0.2">
      <c r="A163" s="16">
        <v>2019</v>
      </c>
      <c r="B163" s="17">
        <v>43552</v>
      </c>
      <c r="C163" s="16">
        <v>1</v>
      </c>
      <c r="D163" s="16">
        <v>5</v>
      </c>
      <c r="E163" s="16">
        <v>34</v>
      </c>
      <c r="F163" s="18">
        <f t="shared" si="10"/>
        <v>0.14705882352941177</v>
      </c>
      <c r="G163" s="16">
        <v>2</v>
      </c>
      <c r="H163" s="18">
        <f t="shared" si="11"/>
        <v>0.4</v>
      </c>
      <c r="I163" s="15">
        <v>1</v>
      </c>
    </row>
    <row r="164" spans="1:11" x14ac:dyDescent="0.2">
      <c r="A164" s="16">
        <v>2019</v>
      </c>
      <c r="B164" s="17">
        <v>43607</v>
      </c>
      <c r="C164" s="16">
        <v>1</v>
      </c>
      <c r="D164" s="16">
        <v>7</v>
      </c>
      <c r="E164" s="16">
        <v>37</v>
      </c>
      <c r="F164" s="18">
        <f t="shared" si="10"/>
        <v>0.1891891891891892</v>
      </c>
      <c r="G164" s="16">
        <v>6</v>
      </c>
      <c r="H164" s="18">
        <f t="shared" si="11"/>
        <v>0.8571428571428571</v>
      </c>
      <c r="I164" s="15">
        <v>1</v>
      </c>
    </row>
    <row r="165" spans="1:11" x14ac:dyDescent="0.2">
      <c r="A165" s="16">
        <v>2019</v>
      </c>
      <c r="B165" s="17">
        <v>43612</v>
      </c>
      <c r="C165" s="16">
        <v>0</v>
      </c>
      <c r="D165" s="16">
        <v>15</v>
      </c>
      <c r="E165" s="16">
        <v>42</v>
      </c>
      <c r="F165" s="18">
        <f t="shared" si="10"/>
        <v>0.35714285714285715</v>
      </c>
      <c r="G165" s="16">
        <v>5</v>
      </c>
      <c r="H165" s="18">
        <f t="shared" si="11"/>
        <v>0.33333333333333331</v>
      </c>
      <c r="I165" s="15">
        <v>1</v>
      </c>
    </row>
    <row r="166" spans="1:11" x14ac:dyDescent="0.2">
      <c r="A166" s="16">
        <v>2019</v>
      </c>
      <c r="B166" s="17">
        <v>43617</v>
      </c>
      <c r="C166" s="16">
        <v>0</v>
      </c>
      <c r="D166" s="16">
        <v>9</v>
      </c>
      <c r="E166" s="16">
        <v>42</v>
      </c>
      <c r="F166" s="18">
        <f t="shared" si="10"/>
        <v>0.21428571428571427</v>
      </c>
      <c r="G166" s="16">
        <v>5</v>
      </c>
      <c r="H166" s="18">
        <f t="shared" si="11"/>
        <v>0.55555555555555558</v>
      </c>
      <c r="I166" s="15">
        <v>1</v>
      </c>
    </row>
    <row r="167" spans="1:11" x14ac:dyDescent="0.2">
      <c r="A167" s="16">
        <v>2019</v>
      </c>
      <c r="B167" s="17">
        <v>43644</v>
      </c>
      <c r="C167" s="16">
        <v>0</v>
      </c>
      <c r="D167" s="16">
        <v>9</v>
      </c>
      <c r="E167" s="16">
        <v>36</v>
      </c>
      <c r="F167" s="18">
        <f t="shared" si="10"/>
        <v>0.25</v>
      </c>
      <c r="G167" s="16">
        <v>2</v>
      </c>
      <c r="H167" s="18">
        <f t="shared" si="11"/>
        <v>0.22222222222222221</v>
      </c>
      <c r="I167" s="15">
        <v>1</v>
      </c>
    </row>
    <row r="168" spans="1:11" x14ac:dyDescent="0.2">
      <c r="A168" s="16">
        <v>2019</v>
      </c>
      <c r="B168" s="17">
        <v>43711</v>
      </c>
      <c r="C168" s="16">
        <v>0</v>
      </c>
      <c r="D168" s="16">
        <v>11</v>
      </c>
      <c r="E168" s="16">
        <v>39</v>
      </c>
      <c r="F168" s="18">
        <f t="shared" si="10"/>
        <v>0.28205128205128205</v>
      </c>
      <c r="G168" s="16">
        <v>10</v>
      </c>
      <c r="H168" s="18">
        <f t="shared" si="11"/>
        <v>0.90909090909090906</v>
      </c>
      <c r="I168" s="16">
        <v>1</v>
      </c>
    </row>
    <row r="169" spans="1:11" x14ac:dyDescent="0.2">
      <c r="A169" s="16">
        <v>2019</v>
      </c>
      <c r="B169" s="17">
        <v>43722</v>
      </c>
      <c r="C169" s="16">
        <v>1</v>
      </c>
      <c r="D169" s="16">
        <v>3</v>
      </c>
      <c r="E169" s="16">
        <v>30</v>
      </c>
      <c r="F169" s="18">
        <f t="shared" si="10"/>
        <v>0.1</v>
      </c>
      <c r="G169" s="16">
        <v>3</v>
      </c>
      <c r="H169" s="18">
        <f t="shared" si="11"/>
        <v>1</v>
      </c>
      <c r="I169" s="16">
        <v>1</v>
      </c>
    </row>
    <row r="170" spans="1:11" x14ac:dyDescent="0.2">
      <c r="A170" s="6">
        <v>2019</v>
      </c>
      <c r="B170" s="7">
        <v>43728</v>
      </c>
      <c r="C170" s="6">
        <v>1</v>
      </c>
      <c r="D170" s="6">
        <v>10</v>
      </c>
      <c r="E170" s="6">
        <v>43</v>
      </c>
      <c r="F170" s="8">
        <f t="shared" si="10"/>
        <v>0.23255813953488372</v>
      </c>
      <c r="G170" s="6">
        <v>8</v>
      </c>
      <c r="H170" s="8">
        <f t="shared" si="11"/>
        <v>0.8</v>
      </c>
      <c r="I170" s="6">
        <v>1</v>
      </c>
      <c r="K170" s="3">
        <f>AVERAGE(H163:H170)</f>
        <v>0.6346681096681096</v>
      </c>
    </row>
    <row r="171" spans="1:11" x14ac:dyDescent="0.2">
      <c r="A171" s="16">
        <v>2020</v>
      </c>
      <c r="B171" s="17">
        <v>44036</v>
      </c>
      <c r="C171" s="16">
        <v>1</v>
      </c>
      <c r="D171" s="16">
        <v>6</v>
      </c>
      <c r="E171" s="16">
        <v>29</v>
      </c>
      <c r="F171" s="18">
        <f t="shared" si="10"/>
        <v>0.20689655172413793</v>
      </c>
      <c r="G171" s="16">
        <v>1</v>
      </c>
      <c r="H171" s="18">
        <f t="shared" si="11"/>
        <v>0.16666666666666666</v>
      </c>
      <c r="I171" s="15">
        <v>0</v>
      </c>
    </row>
    <row r="172" spans="1:11" x14ac:dyDescent="0.2">
      <c r="A172" s="16">
        <v>2020</v>
      </c>
      <c r="B172" s="17">
        <v>44041</v>
      </c>
      <c r="C172" s="16">
        <v>0</v>
      </c>
      <c r="D172" s="16">
        <v>15</v>
      </c>
      <c r="E172" s="16">
        <v>43</v>
      </c>
      <c r="F172" s="18">
        <f t="shared" si="10"/>
        <v>0.34883720930232559</v>
      </c>
      <c r="G172" s="16">
        <v>5</v>
      </c>
      <c r="H172" s="18">
        <f t="shared" si="11"/>
        <v>0.33333333333333331</v>
      </c>
      <c r="I172" s="15">
        <v>0</v>
      </c>
    </row>
    <row r="173" spans="1:11" x14ac:dyDescent="0.2">
      <c r="A173" s="16">
        <v>2020</v>
      </c>
      <c r="B173" s="17">
        <v>44046</v>
      </c>
      <c r="C173" s="16">
        <v>1</v>
      </c>
      <c r="D173" s="16">
        <v>9</v>
      </c>
      <c r="E173" s="16">
        <v>42</v>
      </c>
      <c r="F173" s="18">
        <f t="shared" si="10"/>
        <v>0.21428571428571427</v>
      </c>
      <c r="G173" s="16">
        <v>7</v>
      </c>
      <c r="H173" s="18">
        <f t="shared" si="11"/>
        <v>0.77777777777777779</v>
      </c>
      <c r="I173" s="15">
        <v>0</v>
      </c>
    </row>
    <row r="174" spans="1:11" x14ac:dyDescent="0.2">
      <c r="A174" s="16">
        <v>2020</v>
      </c>
      <c r="B174" s="17">
        <v>44052</v>
      </c>
      <c r="C174" s="16">
        <v>1</v>
      </c>
      <c r="D174" s="16">
        <v>8</v>
      </c>
      <c r="E174" s="16">
        <v>37</v>
      </c>
      <c r="F174" s="18">
        <f t="shared" si="10"/>
        <v>0.21621621621621623</v>
      </c>
      <c r="G174" s="16">
        <v>4</v>
      </c>
      <c r="H174" s="18">
        <f t="shared" si="11"/>
        <v>0.5</v>
      </c>
      <c r="I174" s="15">
        <v>0</v>
      </c>
    </row>
    <row r="175" spans="1:11" x14ac:dyDescent="0.2">
      <c r="A175" s="16">
        <v>2020</v>
      </c>
      <c r="B175" s="17">
        <v>44062</v>
      </c>
      <c r="C175" s="16">
        <v>1</v>
      </c>
      <c r="D175" s="16">
        <v>7</v>
      </c>
      <c r="E175" s="16">
        <v>39</v>
      </c>
      <c r="F175" s="18">
        <f t="shared" si="10"/>
        <v>0.17948717948717949</v>
      </c>
      <c r="G175" s="16">
        <v>3</v>
      </c>
      <c r="H175" s="18">
        <f t="shared" si="11"/>
        <v>0.42857142857142855</v>
      </c>
      <c r="I175" s="15">
        <v>0</v>
      </c>
    </row>
    <row r="176" spans="1:11" x14ac:dyDescent="0.2">
      <c r="A176" s="16">
        <v>2020</v>
      </c>
      <c r="B176" s="17">
        <v>44069</v>
      </c>
      <c r="C176" s="16">
        <v>1</v>
      </c>
      <c r="D176" s="16">
        <v>9</v>
      </c>
      <c r="E176" s="16">
        <v>36</v>
      </c>
      <c r="F176" s="18">
        <f t="shared" si="10"/>
        <v>0.25</v>
      </c>
      <c r="G176" s="16">
        <v>5</v>
      </c>
      <c r="H176" s="18">
        <f t="shared" si="11"/>
        <v>0.55555555555555558</v>
      </c>
      <c r="I176" s="15">
        <v>0</v>
      </c>
    </row>
    <row r="177" spans="1:11" x14ac:dyDescent="0.2">
      <c r="A177" s="16">
        <v>2020</v>
      </c>
      <c r="B177" s="17">
        <v>44074</v>
      </c>
      <c r="C177" s="16">
        <v>0</v>
      </c>
      <c r="D177" s="16">
        <v>8</v>
      </c>
      <c r="E177" s="16">
        <v>35</v>
      </c>
      <c r="F177" s="18">
        <f t="shared" si="10"/>
        <v>0.22857142857142856</v>
      </c>
      <c r="G177" s="16">
        <v>3</v>
      </c>
      <c r="H177" s="18">
        <f t="shared" si="11"/>
        <v>0.375</v>
      </c>
      <c r="I177" s="15">
        <v>0</v>
      </c>
    </row>
    <row r="178" spans="1:11" x14ac:dyDescent="0.2">
      <c r="A178" s="16">
        <v>2020</v>
      </c>
      <c r="B178" s="17">
        <v>44085</v>
      </c>
      <c r="C178" s="16">
        <v>1</v>
      </c>
      <c r="D178" s="16">
        <v>19</v>
      </c>
      <c r="E178" s="16">
        <v>55</v>
      </c>
      <c r="F178" s="18">
        <f t="shared" si="10"/>
        <v>0.34545454545454546</v>
      </c>
      <c r="G178" s="16">
        <v>18</v>
      </c>
      <c r="H178" s="18">
        <f t="shared" si="11"/>
        <v>0.94736842105263153</v>
      </c>
      <c r="I178" s="15">
        <v>0</v>
      </c>
    </row>
    <row r="179" spans="1:11" x14ac:dyDescent="0.2">
      <c r="A179" s="16">
        <v>2020</v>
      </c>
      <c r="B179" s="17">
        <v>44095</v>
      </c>
      <c r="C179" s="16">
        <v>0</v>
      </c>
      <c r="D179" s="16">
        <v>4</v>
      </c>
      <c r="E179" s="16">
        <v>34</v>
      </c>
      <c r="F179" s="18">
        <f t="shared" si="10"/>
        <v>0.11764705882352941</v>
      </c>
      <c r="G179" s="16">
        <v>1</v>
      </c>
      <c r="H179" s="18">
        <f t="shared" si="11"/>
        <v>0.25</v>
      </c>
      <c r="I179" s="15">
        <v>0</v>
      </c>
      <c r="K179" s="3">
        <f>AVERAGE(H171:H179)</f>
        <v>0.48158590921748817</v>
      </c>
    </row>
    <row r="180" spans="1:11" x14ac:dyDescent="0.2">
      <c r="A180" s="16">
        <v>2020</v>
      </c>
      <c r="B180" s="17">
        <v>44080</v>
      </c>
      <c r="C180" s="16">
        <v>1</v>
      </c>
      <c r="D180" s="16">
        <v>17</v>
      </c>
      <c r="E180" s="16">
        <v>46</v>
      </c>
      <c r="F180" s="18">
        <f t="shared" si="10"/>
        <v>0.36956521739130432</v>
      </c>
      <c r="G180" s="16">
        <v>14</v>
      </c>
      <c r="H180" s="18">
        <f t="shared" si="11"/>
        <v>0.82352941176470584</v>
      </c>
      <c r="I180" s="15">
        <v>1</v>
      </c>
    </row>
    <row r="181" spans="1:11" x14ac:dyDescent="0.2">
      <c r="A181" s="16">
        <v>2020</v>
      </c>
      <c r="B181" s="17">
        <v>44090</v>
      </c>
      <c r="C181" s="16">
        <v>1</v>
      </c>
      <c r="D181" s="16">
        <v>10</v>
      </c>
      <c r="E181" s="16">
        <v>36</v>
      </c>
      <c r="F181" s="18">
        <f t="shared" si="10"/>
        <v>0.27777777777777779</v>
      </c>
      <c r="G181" s="16">
        <v>5</v>
      </c>
      <c r="H181" s="18">
        <f t="shared" si="11"/>
        <v>0.5</v>
      </c>
      <c r="I181" s="15">
        <v>1</v>
      </c>
    </row>
    <row r="182" spans="1:11" x14ac:dyDescent="0.2">
      <c r="A182" s="6">
        <v>2020</v>
      </c>
      <c r="B182" s="7">
        <v>44100</v>
      </c>
      <c r="C182" s="6">
        <v>0</v>
      </c>
      <c r="D182" s="6">
        <v>6</v>
      </c>
      <c r="E182" s="6">
        <v>30</v>
      </c>
      <c r="F182" s="8">
        <f t="shared" si="10"/>
        <v>0.2</v>
      </c>
      <c r="G182" s="6">
        <v>4</v>
      </c>
      <c r="H182" s="8">
        <f t="shared" si="11"/>
        <v>0.66666666666666663</v>
      </c>
      <c r="I182" s="6">
        <v>1</v>
      </c>
      <c r="K182" s="3">
        <f>AVERAGE(H180:H182)</f>
        <v>0.66339869281045749</v>
      </c>
    </row>
    <row r="183" spans="1:11" x14ac:dyDescent="0.2">
      <c r="A183" s="23">
        <v>2021</v>
      </c>
      <c r="B183" s="24">
        <v>44291</v>
      </c>
      <c r="C183" s="23">
        <v>0</v>
      </c>
      <c r="D183" s="23">
        <v>10</v>
      </c>
      <c r="E183" s="23">
        <v>40</v>
      </c>
      <c r="F183" s="25">
        <f t="shared" si="10"/>
        <v>0.25</v>
      </c>
      <c r="G183" s="23">
        <v>3</v>
      </c>
      <c r="H183" s="25">
        <f t="shared" si="11"/>
        <v>0.3</v>
      </c>
      <c r="I183" s="23">
        <v>0</v>
      </c>
    </row>
    <row r="184" spans="1:11" x14ac:dyDescent="0.2">
      <c r="A184">
        <v>2021</v>
      </c>
      <c r="B184" s="1">
        <v>44296</v>
      </c>
      <c r="C184">
        <v>0</v>
      </c>
      <c r="D184">
        <v>3</v>
      </c>
      <c r="E184">
        <v>31</v>
      </c>
      <c r="F184" s="3">
        <f t="shared" ref="F184:F204" si="12">D184/E184</f>
        <v>9.6774193548387094E-2</v>
      </c>
      <c r="G184">
        <v>0</v>
      </c>
      <c r="H184" s="3">
        <f t="shared" ref="H184:H197" si="13">G184/D184</f>
        <v>0</v>
      </c>
      <c r="I184">
        <v>0</v>
      </c>
    </row>
    <row r="185" spans="1:11" x14ac:dyDescent="0.2">
      <c r="A185">
        <v>2021</v>
      </c>
      <c r="B185" s="1">
        <v>44303</v>
      </c>
      <c r="C185">
        <v>1</v>
      </c>
      <c r="D185">
        <v>11</v>
      </c>
      <c r="E185">
        <v>32</v>
      </c>
      <c r="F185" s="3">
        <f t="shared" si="12"/>
        <v>0.34375</v>
      </c>
      <c r="G185">
        <v>3</v>
      </c>
      <c r="H185" s="3">
        <f t="shared" si="13"/>
        <v>0.27272727272727271</v>
      </c>
      <c r="I185">
        <v>0</v>
      </c>
    </row>
    <row r="186" spans="1:11" x14ac:dyDescent="0.2">
      <c r="A186">
        <v>2021</v>
      </c>
      <c r="B186" s="1">
        <v>44309</v>
      </c>
      <c r="C186">
        <v>1</v>
      </c>
      <c r="D186">
        <v>11</v>
      </c>
      <c r="E186">
        <v>38</v>
      </c>
      <c r="F186" s="3">
        <f t="shared" si="12"/>
        <v>0.28947368421052633</v>
      </c>
      <c r="G186">
        <v>6</v>
      </c>
      <c r="H186" s="3">
        <f t="shared" si="13"/>
        <v>0.54545454545454541</v>
      </c>
      <c r="I186">
        <v>0</v>
      </c>
    </row>
    <row r="187" spans="1:11" x14ac:dyDescent="0.2">
      <c r="A187" s="16">
        <v>2021</v>
      </c>
      <c r="B187" s="17">
        <v>44314</v>
      </c>
      <c r="C187" s="16">
        <v>0</v>
      </c>
      <c r="D187" s="16">
        <v>2</v>
      </c>
      <c r="E187" s="16">
        <v>33</v>
      </c>
      <c r="F187" s="18">
        <f t="shared" si="12"/>
        <v>6.0606060606060608E-2</v>
      </c>
      <c r="G187" s="16">
        <v>0</v>
      </c>
      <c r="H187" s="18">
        <f t="shared" si="13"/>
        <v>0</v>
      </c>
      <c r="I187" s="16">
        <v>0</v>
      </c>
    </row>
    <row r="188" spans="1:11" x14ac:dyDescent="0.2">
      <c r="A188" s="16">
        <v>2021</v>
      </c>
      <c r="B188" s="17">
        <v>44325</v>
      </c>
      <c r="C188" s="15">
        <v>1</v>
      </c>
      <c r="D188" s="15">
        <v>7</v>
      </c>
      <c r="E188" s="15">
        <v>35</v>
      </c>
      <c r="F188" s="22">
        <f t="shared" si="12"/>
        <v>0.2</v>
      </c>
      <c r="G188" s="15">
        <v>4</v>
      </c>
      <c r="H188" s="22">
        <f t="shared" si="13"/>
        <v>0.5714285714285714</v>
      </c>
      <c r="I188" s="15">
        <v>0</v>
      </c>
      <c r="J188" s="22"/>
    </row>
    <row r="189" spans="1:11" x14ac:dyDescent="0.2">
      <c r="A189" s="16">
        <v>2021</v>
      </c>
      <c r="B189" s="1">
        <v>44341</v>
      </c>
      <c r="C189" s="15">
        <v>1</v>
      </c>
      <c r="D189" s="15">
        <v>9</v>
      </c>
      <c r="E189" s="15">
        <v>33</v>
      </c>
      <c r="F189" s="22">
        <f t="shared" si="12"/>
        <v>0.27272727272727271</v>
      </c>
      <c r="G189" s="15">
        <v>3</v>
      </c>
      <c r="H189" s="22">
        <f t="shared" si="13"/>
        <v>0.33333333333333331</v>
      </c>
      <c r="I189" s="15">
        <v>0</v>
      </c>
      <c r="J189" s="3"/>
    </row>
    <row r="190" spans="1:11" x14ac:dyDescent="0.2">
      <c r="A190" s="16">
        <v>2021</v>
      </c>
      <c r="B190" s="1">
        <v>44347</v>
      </c>
      <c r="C190" s="15">
        <v>1</v>
      </c>
      <c r="D190" s="15">
        <v>13</v>
      </c>
      <c r="E190" s="15">
        <v>41</v>
      </c>
      <c r="F190" s="22">
        <f t="shared" si="12"/>
        <v>0.31707317073170732</v>
      </c>
      <c r="G190" s="15">
        <v>6</v>
      </c>
      <c r="H190" s="22">
        <f t="shared" si="13"/>
        <v>0.46153846153846156</v>
      </c>
      <c r="I190" s="15">
        <v>0</v>
      </c>
      <c r="J190" s="3"/>
    </row>
    <row r="191" spans="1:11" x14ac:dyDescent="0.2">
      <c r="A191" s="16">
        <v>2021</v>
      </c>
      <c r="B191" s="1">
        <v>44358</v>
      </c>
      <c r="C191" s="15">
        <v>1</v>
      </c>
      <c r="D191" s="15">
        <v>5</v>
      </c>
      <c r="E191" s="15">
        <v>32</v>
      </c>
      <c r="F191" s="3">
        <f t="shared" si="12"/>
        <v>0.15625</v>
      </c>
      <c r="G191" s="15">
        <v>3</v>
      </c>
      <c r="H191" s="3">
        <f t="shared" si="13"/>
        <v>0.6</v>
      </c>
      <c r="I191" s="15">
        <v>0</v>
      </c>
      <c r="J191" s="3"/>
    </row>
    <row r="192" spans="1:11" x14ac:dyDescent="0.2">
      <c r="A192" s="16">
        <v>2021</v>
      </c>
      <c r="B192" s="1">
        <v>44363</v>
      </c>
      <c r="C192" s="15">
        <v>1</v>
      </c>
      <c r="D192" s="15">
        <v>5</v>
      </c>
      <c r="E192" s="15">
        <v>35</v>
      </c>
      <c r="F192" s="3">
        <f t="shared" si="12"/>
        <v>0.14285714285714285</v>
      </c>
      <c r="G192" s="15">
        <v>6</v>
      </c>
      <c r="H192" s="3">
        <f t="shared" si="13"/>
        <v>1.2</v>
      </c>
      <c r="I192" s="15">
        <v>0</v>
      </c>
      <c r="J192" s="3"/>
    </row>
    <row r="193" spans="1:11" x14ac:dyDescent="0.2">
      <c r="A193" s="16">
        <v>2021</v>
      </c>
      <c r="B193" s="1">
        <v>44368</v>
      </c>
      <c r="C193" s="15">
        <v>1</v>
      </c>
      <c r="D193" s="15">
        <v>4</v>
      </c>
      <c r="E193" s="15">
        <v>27</v>
      </c>
      <c r="F193" s="3">
        <f t="shared" si="12"/>
        <v>0.14814814814814814</v>
      </c>
      <c r="G193" s="15">
        <v>4</v>
      </c>
      <c r="H193" s="3">
        <f t="shared" si="13"/>
        <v>1</v>
      </c>
      <c r="I193" s="15">
        <v>0</v>
      </c>
      <c r="J193" s="3"/>
    </row>
    <row r="194" spans="1:11" x14ac:dyDescent="0.2">
      <c r="A194" s="16">
        <v>2021</v>
      </c>
      <c r="B194" s="1">
        <v>44373</v>
      </c>
      <c r="C194" s="15">
        <v>1</v>
      </c>
      <c r="D194" s="15">
        <v>8</v>
      </c>
      <c r="E194" s="15">
        <v>39</v>
      </c>
      <c r="F194" s="3">
        <f t="shared" si="12"/>
        <v>0.20512820512820512</v>
      </c>
      <c r="G194" s="15">
        <v>4</v>
      </c>
      <c r="H194" s="3">
        <f t="shared" si="13"/>
        <v>0.5</v>
      </c>
      <c r="I194" s="15">
        <v>0</v>
      </c>
      <c r="J194" s="3"/>
    </row>
    <row r="195" spans="1:11" x14ac:dyDescent="0.2">
      <c r="A195" s="16">
        <v>2021</v>
      </c>
      <c r="B195" s="1">
        <v>44378</v>
      </c>
      <c r="C195" s="15">
        <v>0</v>
      </c>
      <c r="D195" s="15">
        <v>6</v>
      </c>
      <c r="E195" s="15">
        <v>36</v>
      </c>
      <c r="F195" s="3">
        <f t="shared" si="12"/>
        <v>0.16666666666666666</v>
      </c>
      <c r="G195" s="15">
        <v>3</v>
      </c>
      <c r="H195" s="3">
        <f t="shared" si="13"/>
        <v>0.5</v>
      </c>
      <c r="I195" s="15">
        <v>0</v>
      </c>
      <c r="J195" s="3"/>
      <c r="K195" s="3">
        <f>AVERAGE(H183:H195)</f>
        <v>0.48342170649862959</v>
      </c>
    </row>
    <row r="196" spans="1:11" x14ac:dyDescent="0.2">
      <c r="A196" s="16">
        <v>2021</v>
      </c>
      <c r="B196" s="1">
        <v>44352</v>
      </c>
      <c r="C196" s="15">
        <v>1</v>
      </c>
      <c r="D196" s="15">
        <v>13</v>
      </c>
      <c r="E196" s="15">
        <v>44</v>
      </c>
      <c r="F196" s="22">
        <f t="shared" si="12"/>
        <v>0.29545454545454547</v>
      </c>
      <c r="G196" s="15">
        <v>4</v>
      </c>
      <c r="H196" s="22">
        <f t="shared" si="13"/>
        <v>0.30769230769230771</v>
      </c>
      <c r="I196" s="15">
        <v>1</v>
      </c>
      <c r="J196" s="3"/>
    </row>
    <row r="197" spans="1:11" x14ac:dyDescent="0.2">
      <c r="A197" s="6">
        <v>2021</v>
      </c>
      <c r="B197" s="7">
        <v>44384</v>
      </c>
      <c r="C197" s="6">
        <v>1</v>
      </c>
      <c r="D197" s="6">
        <v>8</v>
      </c>
      <c r="E197" s="6">
        <v>32</v>
      </c>
      <c r="F197" s="8">
        <f t="shared" si="12"/>
        <v>0.25</v>
      </c>
      <c r="G197" s="6">
        <v>4</v>
      </c>
      <c r="H197" s="8">
        <f t="shared" si="13"/>
        <v>0.5</v>
      </c>
      <c r="I197" s="6">
        <v>1</v>
      </c>
      <c r="J197" s="3"/>
      <c r="K197" s="3">
        <f>AVERAGE(H196:H197)</f>
        <v>0.40384615384615385</v>
      </c>
    </row>
    <row r="198" spans="1:11" x14ac:dyDescent="0.2">
      <c r="A198">
        <v>2022</v>
      </c>
      <c r="B198" s="28">
        <v>44775</v>
      </c>
      <c r="C198" s="29">
        <v>0</v>
      </c>
      <c r="D198" s="29">
        <v>6</v>
      </c>
      <c r="E198" s="29">
        <v>35</v>
      </c>
      <c r="F198" s="18">
        <f t="shared" si="12"/>
        <v>0.17142857142857143</v>
      </c>
      <c r="G198" s="29">
        <v>1</v>
      </c>
      <c r="H198" s="18">
        <f t="shared" ref="H198" si="14">G198/D198</f>
        <v>0.16666666666666666</v>
      </c>
      <c r="I198" s="29">
        <v>0</v>
      </c>
      <c r="J198" s="3"/>
    </row>
    <row r="199" spans="1:11" x14ac:dyDescent="0.2">
      <c r="A199">
        <v>2022</v>
      </c>
      <c r="B199" s="28">
        <v>44780</v>
      </c>
      <c r="C199" s="29">
        <v>1</v>
      </c>
      <c r="D199" s="29">
        <v>10</v>
      </c>
      <c r="E199" s="29">
        <v>37</v>
      </c>
      <c r="F199" s="18">
        <f t="shared" si="12"/>
        <v>0.27027027027027029</v>
      </c>
      <c r="G199" s="29">
        <v>5</v>
      </c>
      <c r="H199" s="18">
        <f t="shared" ref="H199:H204" si="15">G199/D199</f>
        <v>0.5</v>
      </c>
      <c r="I199" s="29">
        <v>0</v>
      </c>
      <c r="J199" s="3"/>
    </row>
    <row r="200" spans="1:11" x14ac:dyDescent="0.2">
      <c r="A200">
        <v>2022</v>
      </c>
      <c r="B200" s="28">
        <v>44798</v>
      </c>
      <c r="C200" s="29">
        <v>1</v>
      </c>
      <c r="D200" s="29">
        <v>8</v>
      </c>
      <c r="E200" s="29">
        <v>36</v>
      </c>
      <c r="F200" s="18">
        <f t="shared" si="12"/>
        <v>0.22222222222222221</v>
      </c>
      <c r="G200" s="29">
        <v>3</v>
      </c>
      <c r="H200" s="29">
        <f t="shared" si="15"/>
        <v>0.375</v>
      </c>
      <c r="I200" s="29">
        <v>0</v>
      </c>
      <c r="J200" s="3"/>
    </row>
    <row r="201" spans="1:11" x14ac:dyDescent="0.2">
      <c r="A201">
        <v>2022</v>
      </c>
      <c r="B201" s="26">
        <v>44811</v>
      </c>
      <c r="C201" s="27">
        <v>1</v>
      </c>
      <c r="D201" s="27">
        <v>17</v>
      </c>
      <c r="E201" s="27">
        <v>50</v>
      </c>
      <c r="F201" s="27">
        <f t="shared" si="12"/>
        <v>0.34</v>
      </c>
      <c r="G201" s="27">
        <v>10</v>
      </c>
      <c r="H201" s="3">
        <f t="shared" si="15"/>
        <v>0.58823529411764708</v>
      </c>
      <c r="I201" s="27">
        <v>0</v>
      </c>
      <c r="J201" s="3"/>
      <c r="K201" s="3">
        <f>AVERAGE(H198:H201)</f>
        <v>0.40747549019607843</v>
      </c>
    </row>
    <row r="202" spans="1:11" x14ac:dyDescent="0.2">
      <c r="A202">
        <v>2022</v>
      </c>
      <c r="B202" s="28">
        <v>44786</v>
      </c>
      <c r="C202" s="29">
        <v>1</v>
      </c>
      <c r="D202" s="29">
        <v>4</v>
      </c>
      <c r="E202" s="29">
        <v>28</v>
      </c>
      <c r="F202" s="18">
        <f t="shared" si="12"/>
        <v>0.14285714285714285</v>
      </c>
      <c r="G202" s="29">
        <v>1</v>
      </c>
      <c r="H202" s="18">
        <f t="shared" si="15"/>
        <v>0.25</v>
      </c>
      <c r="I202" s="29">
        <v>1</v>
      </c>
      <c r="J202" s="16"/>
    </row>
    <row r="203" spans="1:11" x14ac:dyDescent="0.2">
      <c r="A203">
        <v>2022</v>
      </c>
      <c r="B203" s="28">
        <v>44791</v>
      </c>
      <c r="C203" s="29">
        <v>0</v>
      </c>
      <c r="D203" s="29">
        <v>6</v>
      </c>
      <c r="E203" s="29">
        <v>33</v>
      </c>
      <c r="F203" s="18">
        <f t="shared" si="12"/>
        <v>0.18181818181818182</v>
      </c>
      <c r="G203" s="29">
        <v>2</v>
      </c>
      <c r="H203" s="18">
        <f t="shared" si="15"/>
        <v>0.33333333333333331</v>
      </c>
      <c r="I203" s="29">
        <v>1</v>
      </c>
    </row>
    <row r="204" spans="1:11" x14ac:dyDescent="0.2">
      <c r="A204">
        <v>2022</v>
      </c>
      <c r="B204" s="28">
        <v>44804</v>
      </c>
      <c r="C204" s="29">
        <v>1</v>
      </c>
      <c r="D204" s="29">
        <v>8</v>
      </c>
      <c r="E204" s="29">
        <v>31</v>
      </c>
      <c r="F204" s="18">
        <f t="shared" si="12"/>
        <v>0.25806451612903225</v>
      </c>
      <c r="G204" s="29">
        <v>2</v>
      </c>
      <c r="H204" s="29">
        <f t="shared" si="15"/>
        <v>0.25</v>
      </c>
      <c r="I204" s="29">
        <v>1</v>
      </c>
      <c r="K204" s="3">
        <f>AVERAGE(H202:H204)</f>
        <v>0.27777777777777773</v>
      </c>
    </row>
  </sheetData>
  <sortState xmlns:xlrd2="http://schemas.microsoft.com/office/spreadsheetml/2017/richdata2" ref="A199:I204">
    <sortCondition ref="I199:I204"/>
    <sortCondition ref="B199:B2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5FA6-2AE9-9B46-8B0C-A83154291C1E}">
  <dimension ref="B2:Y60"/>
  <sheetViews>
    <sheetView tabSelected="1" topLeftCell="J19" zoomScale="120" zoomScaleNormal="120" workbookViewId="0">
      <selection activeCell="R27" sqref="R27"/>
    </sheetView>
  </sheetViews>
  <sheetFormatPr baseColWidth="10" defaultRowHeight="16" x14ac:dyDescent="0.2"/>
  <cols>
    <col min="2" max="2" width="24.33203125" bestFit="1" customWidth="1"/>
    <col min="3" max="3" width="11.1640625" bestFit="1" customWidth="1"/>
    <col min="13" max="13" width="24.33203125" bestFit="1" customWidth="1"/>
  </cols>
  <sheetData>
    <row r="2" spans="2:16" x14ac:dyDescent="0.2">
      <c r="B2" s="12" t="s">
        <v>6</v>
      </c>
    </row>
    <row r="3" spans="2:16" x14ac:dyDescent="0.2">
      <c r="B3" s="13"/>
      <c r="M3" s="9" t="s">
        <v>35</v>
      </c>
    </row>
    <row r="4" spans="2:16" x14ac:dyDescent="0.2">
      <c r="B4" s="14"/>
      <c r="C4" s="36">
        <v>2014</v>
      </c>
      <c r="D4" s="36">
        <v>2015</v>
      </c>
      <c r="E4" s="36">
        <v>2016</v>
      </c>
      <c r="F4" s="36">
        <v>2017</v>
      </c>
      <c r="G4" s="36">
        <v>2018</v>
      </c>
      <c r="H4" s="36">
        <v>2019</v>
      </c>
      <c r="I4" s="36">
        <v>2020</v>
      </c>
      <c r="J4" s="36">
        <v>2021</v>
      </c>
      <c r="K4" s="36">
        <v>2022</v>
      </c>
      <c r="M4" s="9" t="s">
        <v>27</v>
      </c>
      <c r="P4" s="9"/>
    </row>
    <row r="5" spans="2:16" x14ac:dyDescent="0.2">
      <c r="B5" s="13" t="s">
        <v>10</v>
      </c>
      <c r="C5">
        <v>0.23899999999999999</v>
      </c>
      <c r="D5">
        <v>0.24399999999999999</v>
      </c>
      <c r="E5">
        <v>0.246</v>
      </c>
      <c r="F5">
        <v>0.25</v>
      </c>
      <c r="G5">
        <v>0.23400000000000001</v>
      </c>
      <c r="H5">
        <v>0.25700000000000001</v>
      </c>
      <c r="I5">
        <v>0.27200000000000002</v>
      </c>
      <c r="J5">
        <v>0.23899999999999999</v>
      </c>
      <c r="K5">
        <v>0.25800000000000001</v>
      </c>
      <c r="M5" t="s">
        <v>28</v>
      </c>
    </row>
    <row r="6" spans="2:16" x14ac:dyDescent="0.2">
      <c r="B6" s="30" t="s">
        <v>9</v>
      </c>
      <c r="C6" s="3">
        <v>0.21247559861835719</v>
      </c>
      <c r="D6" s="3">
        <v>0.22363246068772638</v>
      </c>
      <c r="E6" s="3">
        <v>0.19626905390230773</v>
      </c>
      <c r="F6" s="3">
        <v>0.23904731921487524</v>
      </c>
      <c r="G6" s="3">
        <v>0.18981061896593168</v>
      </c>
      <c r="H6" s="3">
        <v>0.21614687050479889</v>
      </c>
      <c r="I6" s="3">
        <v>0.24622824158617995</v>
      </c>
      <c r="J6">
        <v>0.183</v>
      </c>
      <c r="K6" s="3">
        <v>0.223</v>
      </c>
      <c r="M6" t="s">
        <v>29</v>
      </c>
      <c r="N6" s="9">
        <f>TTEST(C7:K7,C23:K23,2,2)</f>
        <v>0.66320079782887587</v>
      </c>
    </row>
    <row r="7" spans="2:16" x14ac:dyDescent="0.2">
      <c r="B7" s="31" t="s">
        <v>53</v>
      </c>
      <c r="C7" s="3">
        <v>0.23799999999999999</v>
      </c>
      <c r="D7" s="3">
        <v>0.247</v>
      </c>
      <c r="E7" s="3">
        <v>0.219</v>
      </c>
      <c r="F7" s="3">
        <v>0.26800000000000002</v>
      </c>
      <c r="G7" s="3">
        <v>0.215</v>
      </c>
      <c r="H7" s="3">
        <v>0.24399999999999999</v>
      </c>
      <c r="I7" s="3">
        <v>0.28799999999999998</v>
      </c>
      <c r="J7" s="3">
        <v>0.24299999999999999</v>
      </c>
      <c r="K7" s="3">
        <v>0.248</v>
      </c>
      <c r="N7" s="9"/>
    </row>
    <row r="8" spans="2:16" x14ac:dyDescent="0.2">
      <c r="B8" s="13"/>
    </row>
    <row r="9" spans="2:16" x14ac:dyDescent="0.2">
      <c r="B9" s="30" t="s">
        <v>11</v>
      </c>
      <c r="C9" s="3">
        <v>2.6524401381642804E-2</v>
      </c>
      <c r="D9" s="3">
        <v>2.0367539312273614E-2</v>
      </c>
      <c r="E9" s="3">
        <v>4.9730946097692269E-2</v>
      </c>
      <c r="F9" s="3">
        <v>1.0952680785124763E-2</v>
      </c>
      <c r="G9" s="3">
        <v>4.4189381034068331E-2</v>
      </c>
      <c r="H9" s="3">
        <v>4.0853129495201118E-2</v>
      </c>
      <c r="I9" s="3">
        <v>2.5771758413820067E-2</v>
      </c>
      <c r="J9" s="3">
        <v>4.9000000000000016E-2</v>
      </c>
      <c r="K9" s="3">
        <v>1.0489999999999999</v>
      </c>
      <c r="M9" s="32" t="s">
        <v>30</v>
      </c>
    </row>
    <row r="10" spans="2:16" x14ac:dyDescent="0.2">
      <c r="B10" s="31" t="s">
        <v>54</v>
      </c>
      <c r="C10" s="3">
        <f t="shared" ref="C10:J10" si="0">C5-C7</f>
        <v>1.0000000000000009E-3</v>
      </c>
      <c r="D10" s="3">
        <f t="shared" si="0"/>
        <v>-3.0000000000000027E-3</v>
      </c>
      <c r="E10" s="3">
        <f t="shared" si="0"/>
        <v>2.6999999999999996E-2</v>
      </c>
      <c r="F10" s="3">
        <f t="shared" si="0"/>
        <v>-1.8000000000000016E-2</v>
      </c>
      <c r="G10" s="3">
        <f t="shared" si="0"/>
        <v>1.9000000000000017E-2</v>
      </c>
      <c r="H10" s="3">
        <f t="shared" si="0"/>
        <v>1.3000000000000012E-2</v>
      </c>
      <c r="I10" s="3">
        <f t="shared" si="0"/>
        <v>-1.5999999999999959E-2</v>
      </c>
      <c r="J10" s="3">
        <f t="shared" si="0"/>
        <v>-4.0000000000000036E-3</v>
      </c>
      <c r="K10" s="3">
        <f>K5-K7</f>
        <v>1.0000000000000009E-2</v>
      </c>
      <c r="M10" s="33" t="s">
        <v>59</v>
      </c>
    </row>
    <row r="11" spans="2:16" x14ac:dyDescent="0.2">
      <c r="B11" s="13"/>
      <c r="C11" s="3"/>
      <c r="D11" s="3"/>
      <c r="E11" s="3"/>
      <c r="F11" s="3"/>
      <c r="G11" s="3"/>
      <c r="H11" s="3"/>
      <c r="I11" s="3"/>
      <c r="J11" s="3"/>
      <c r="K11" s="3"/>
    </row>
    <row r="12" spans="2:16" x14ac:dyDescent="0.2">
      <c r="B12" s="13" t="s">
        <v>21</v>
      </c>
      <c r="C12" s="11">
        <f>79+83</f>
        <v>162</v>
      </c>
      <c r="D12" s="11">
        <f t="shared" ref="D12:H12" si="1">79+83</f>
        <v>162</v>
      </c>
      <c r="E12" s="11">
        <f t="shared" si="1"/>
        <v>162</v>
      </c>
      <c r="F12" s="11">
        <f t="shared" si="1"/>
        <v>162</v>
      </c>
      <c r="G12" s="11">
        <f t="shared" si="1"/>
        <v>162</v>
      </c>
      <c r="H12" s="11">
        <f t="shared" si="1"/>
        <v>162</v>
      </c>
      <c r="I12" s="11">
        <v>60</v>
      </c>
      <c r="J12" s="11">
        <v>162</v>
      </c>
      <c r="K12" s="11">
        <v>157</v>
      </c>
      <c r="M12" s="9" t="s">
        <v>34</v>
      </c>
    </row>
    <row r="13" spans="2:16" x14ac:dyDescent="0.2">
      <c r="B13" s="13" t="s">
        <v>22</v>
      </c>
      <c r="C13" s="11">
        <v>22</v>
      </c>
      <c r="D13" s="11">
        <v>30</v>
      </c>
      <c r="E13" s="11">
        <v>24</v>
      </c>
      <c r="F13" s="11">
        <v>31</v>
      </c>
      <c r="G13" s="11">
        <v>32</v>
      </c>
      <c r="H13" s="11">
        <v>32</v>
      </c>
      <c r="I13" s="11">
        <v>12</v>
      </c>
      <c r="J13" s="11">
        <v>15</v>
      </c>
      <c r="K13" s="11">
        <v>11</v>
      </c>
      <c r="M13" s="9" t="s">
        <v>27</v>
      </c>
    </row>
    <row r="14" spans="2:16" x14ac:dyDescent="0.2">
      <c r="B14" s="13" t="s">
        <v>23</v>
      </c>
      <c r="C14" s="11">
        <f>C12-C13</f>
        <v>140</v>
      </c>
      <c r="D14" s="11">
        <f t="shared" ref="D14:K14" si="2">D12-D13</f>
        <v>132</v>
      </c>
      <c r="E14" s="11">
        <f t="shared" si="2"/>
        <v>138</v>
      </c>
      <c r="F14" s="11">
        <f t="shared" si="2"/>
        <v>131</v>
      </c>
      <c r="G14" s="11">
        <f t="shared" si="2"/>
        <v>130</v>
      </c>
      <c r="H14" s="11">
        <f t="shared" si="2"/>
        <v>130</v>
      </c>
      <c r="I14" s="11">
        <f t="shared" si="2"/>
        <v>48</v>
      </c>
      <c r="J14" s="11">
        <f t="shared" si="2"/>
        <v>147</v>
      </c>
      <c r="K14" s="11">
        <f t="shared" si="2"/>
        <v>146</v>
      </c>
      <c r="M14" t="s">
        <v>28</v>
      </c>
    </row>
    <row r="15" spans="2:16" x14ac:dyDescent="0.2">
      <c r="B15" s="13"/>
      <c r="M15" t="s">
        <v>29</v>
      </c>
      <c r="N15" s="9">
        <f>TTEST(D7:H7,D23:H23,2,2)</f>
        <v>0.40699109399755973</v>
      </c>
    </row>
    <row r="16" spans="2:16" x14ac:dyDescent="0.2">
      <c r="B16" s="13" t="s">
        <v>24</v>
      </c>
      <c r="C16" s="10">
        <f t="shared" ref="C16:K16" si="3">C12*C5</f>
        <v>38.717999999999996</v>
      </c>
      <c r="D16" s="10">
        <f t="shared" si="3"/>
        <v>39.527999999999999</v>
      </c>
      <c r="E16" s="10">
        <f t="shared" si="3"/>
        <v>39.851999999999997</v>
      </c>
      <c r="F16" s="10">
        <f t="shared" si="3"/>
        <v>40.5</v>
      </c>
      <c r="G16" s="10">
        <f t="shared" si="3"/>
        <v>37.908000000000001</v>
      </c>
      <c r="H16" s="10">
        <f t="shared" si="3"/>
        <v>41.634</v>
      </c>
      <c r="I16" s="10">
        <f t="shared" si="3"/>
        <v>16.32</v>
      </c>
      <c r="J16" s="10">
        <f t="shared" si="3"/>
        <v>38.717999999999996</v>
      </c>
      <c r="K16" s="10">
        <f t="shared" si="3"/>
        <v>40.506</v>
      </c>
    </row>
    <row r="17" spans="2:25" x14ac:dyDescent="0.2">
      <c r="B17" s="31" t="s">
        <v>56</v>
      </c>
      <c r="C17" s="10">
        <f>C7*C13</f>
        <v>5.2359999999999998</v>
      </c>
      <c r="D17" s="10">
        <f t="shared" ref="D17:K17" si="4">D7*D13</f>
        <v>7.41</v>
      </c>
      <c r="E17" s="10">
        <f t="shared" si="4"/>
        <v>5.2560000000000002</v>
      </c>
      <c r="F17" s="10">
        <f t="shared" si="4"/>
        <v>8.3079999999999998</v>
      </c>
      <c r="G17" s="10">
        <f t="shared" si="4"/>
        <v>6.88</v>
      </c>
      <c r="H17" s="10">
        <f t="shared" si="4"/>
        <v>7.8079999999999998</v>
      </c>
      <c r="I17" s="10">
        <f t="shared" si="4"/>
        <v>3.4559999999999995</v>
      </c>
      <c r="J17" s="10">
        <f t="shared" si="4"/>
        <v>3.645</v>
      </c>
      <c r="K17" s="10">
        <f t="shared" si="4"/>
        <v>2.7279999999999998</v>
      </c>
    </row>
    <row r="18" spans="2:25" x14ac:dyDescent="0.2">
      <c r="B18" s="30" t="s">
        <v>25</v>
      </c>
      <c r="C18" s="10">
        <f t="shared" ref="C18:J18" si="5">C13*C6</f>
        <v>4.6744631696038583</v>
      </c>
      <c r="D18" s="10">
        <f t="shared" si="5"/>
        <v>6.7089738206317913</v>
      </c>
      <c r="E18" s="10">
        <f t="shared" si="5"/>
        <v>4.7104572936553852</v>
      </c>
      <c r="F18" s="10">
        <f t="shared" si="5"/>
        <v>7.4104668956611324</v>
      </c>
      <c r="G18" s="10">
        <f t="shared" si="5"/>
        <v>6.0739398069098138</v>
      </c>
      <c r="H18" s="10">
        <f t="shared" si="5"/>
        <v>6.9166998561535644</v>
      </c>
      <c r="I18" s="10">
        <f t="shared" si="5"/>
        <v>2.9547388990341594</v>
      </c>
      <c r="J18" s="10">
        <f t="shared" si="5"/>
        <v>2.7450000000000001</v>
      </c>
      <c r="K18" s="10">
        <f>K13*K6</f>
        <v>2.4529999999999998</v>
      </c>
      <c r="M18" s="32" t="s">
        <v>30</v>
      </c>
    </row>
    <row r="19" spans="2:25" x14ac:dyDescent="0.2">
      <c r="B19" s="30" t="s">
        <v>26</v>
      </c>
      <c r="C19" s="10">
        <f t="shared" ref="C19:J19" si="6">C16-C18</f>
        <v>34.043536830396135</v>
      </c>
      <c r="D19" s="10">
        <f t="shared" si="6"/>
        <v>32.819026179368208</v>
      </c>
      <c r="E19" s="10">
        <f t="shared" si="6"/>
        <v>35.141542706344609</v>
      </c>
      <c r="F19" s="10">
        <f t="shared" si="6"/>
        <v>33.089533104338869</v>
      </c>
      <c r="G19" s="10">
        <f t="shared" si="6"/>
        <v>31.834060193090188</v>
      </c>
      <c r="H19" s="10">
        <f t="shared" si="6"/>
        <v>34.717300143846437</v>
      </c>
      <c r="I19" s="10">
        <f t="shared" si="6"/>
        <v>13.36526110096584</v>
      </c>
      <c r="J19" s="10">
        <f t="shared" si="6"/>
        <v>35.972999999999999</v>
      </c>
      <c r="K19" s="10">
        <f>K16-K18</f>
        <v>38.052999999999997</v>
      </c>
      <c r="M19" s="33" t="s">
        <v>59</v>
      </c>
    </row>
    <row r="20" spans="2:25" x14ac:dyDescent="0.2">
      <c r="B20" s="31" t="s">
        <v>57</v>
      </c>
      <c r="C20" s="10">
        <f>C16-C17</f>
        <v>33.481999999999999</v>
      </c>
      <c r="D20" s="10">
        <f t="shared" ref="D20:K20" si="7">D16-D17</f>
        <v>32.117999999999995</v>
      </c>
      <c r="E20" s="10">
        <f t="shared" si="7"/>
        <v>34.595999999999997</v>
      </c>
      <c r="F20" s="10">
        <f t="shared" si="7"/>
        <v>32.192</v>
      </c>
      <c r="G20" s="10">
        <f t="shared" si="7"/>
        <v>31.028000000000002</v>
      </c>
      <c r="H20" s="10">
        <f t="shared" si="7"/>
        <v>33.826000000000001</v>
      </c>
      <c r="I20" s="10">
        <f t="shared" si="7"/>
        <v>12.864000000000001</v>
      </c>
      <c r="J20" s="10">
        <f t="shared" si="7"/>
        <v>35.072999999999993</v>
      </c>
      <c r="K20" s="10">
        <f t="shared" si="7"/>
        <v>37.777999999999999</v>
      </c>
    </row>
    <row r="21" spans="2:25" x14ac:dyDescent="0.2">
      <c r="B21" s="13"/>
      <c r="C21" s="10"/>
      <c r="D21" s="10"/>
      <c r="E21" s="10"/>
      <c r="F21" s="10"/>
      <c r="G21" s="10"/>
      <c r="H21" s="10"/>
      <c r="I21" s="10"/>
      <c r="J21" s="10"/>
      <c r="K21" s="10"/>
    </row>
    <row r="22" spans="2:25" x14ac:dyDescent="0.2">
      <c r="B22" s="30" t="s">
        <v>23</v>
      </c>
      <c r="C22" s="3">
        <f t="shared" ref="C22:J22" si="8">C19/C14</f>
        <v>0.24316812021711526</v>
      </c>
      <c r="D22" s="3">
        <f t="shared" si="8"/>
        <v>0.24862898620733492</v>
      </c>
      <c r="E22" s="3">
        <f t="shared" si="8"/>
        <v>0.25464886019090294</v>
      </c>
      <c r="F22" s="3">
        <f t="shared" si="8"/>
        <v>0.252591855758312</v>
      </c>
      <c r="G22" s="3">
        <f t="shared" si="8"/>
        <v>0.24487738610069376</v>
      </c>
      <c r="H22" s="3">
        <f t="shared" si="8"/>
        <v>0.26705615495266488</v>
      </c>
      <c r="I22" s="3">
        <f t="shared" si="8"/>
        <v>0.27844293960345501</v>
      </c>
      <c r="J22" s="3">
        <f t="shared" si="8"/>
        <v>0.24471428571428572</v>
      </c>
      <c r="K22" s="3">
        <f>K19/K14</f>
        <v>0.26063698630136983</v>
      </c>
    </row>
    <row r="23" spans="2:25" x14ac:dyDescent="0.2">
      <c r="B23" s="31" t="s">
        <v>58</v>
      </c>
      <c r="C23" s="3">
        <f>C20/C14</f>
        <v>0.23915714285714285</v>
      </c>
      <c r="D23" s="3">
        <f t="shared" ref="D23:J23" si="9">D20/D14</f>
        <v>0.24331818181818177</v>
      </c>
      <c r="E23" s="3">
        <f t="shared" si="9"/>
        <v>0.25069565217391304</v>
      </c>
      <c r="F23" s="3">
        <f t="shared" si="9"/>
        <v>0.24574045801526717</v>
      </c>
      <c r="G23" s="3">
        <f t="shared" si="9"/>
        <v>0.23867692307692309</v>
      </c>
      <c r="H23" s="3">
        <f t="shared" si="9"/>
        <v>0.26019999999999999</v>
      </c>
      <c r="I23" s="3">
        <f t="shared" si="9"/>
        <v>0.26800000000000002</v>
      </c>
      <c r="J23" s="3">
        <f t="shared" si="9"/>
        <v>0.23859183673469384</v>
      </c>
      <c r="K23" s="3">
        <f>K20/K14</f>
        <v>0.25875342465753426</v>
      </c>
    </row>
    <row r="24" spans="2:25" x14ac:dyDescent="0.2">
      <c r="B24" s="14"/>
      <c r="C24" s="8"/>
      <c r="D24" s="8"/>
      <c r="E24" s="8"/>
      <c r="F24" s="8"/>
      <c r="G24" s="8"/>
      <c r="H24" s="8"/>
      <c r="I24" s="8"/>
      <c r="J24" s="8"/>
      <c r="K24" s="8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2:25" x14ac:dyDescent="0.2">
      <c r="B25" s="13"/>
    </row>
    <row r="26" spans="2:25" x14ac:dyDescent="0.2">
      <c r="B26" s="12" t="s">
        <v>12</v>
      </c>
      <c r="M26" s="9" t="s">
        <v>35</v>
      </c>
      <c r="R26" s="6">
        <v>2014</v>
      </c>
      <c r="S26" s="6">
        <v>2015</v>
      </c>
      <c r="T26" s="6">
        <v>2016</v>
      </c>
      <c r="U26" s="6">
        <v>2017</v>
      </c>
      <c r="V26" s="6">
        <v>2018</v>
      </c>
      <c r="W26" s="6">
        <v>2019</v>
      </c>
      <c r="X26" s="6">
        <v>2021</v>
      </c>
      <c r="Y26" s="6">
        <v>2022</v>
      </c>
    </row>
    <row r="27" spans="2:25" x14ac:dyDescent="0.2">
      <c r="B27" s="14"/>
      <c r="C27" s="36">
        <v>2014</v>
      </c>
      <c r="D27" s="36">
        <v>2015</v>
      </c>
      <c r="E27" s="36">
        <v>2016</v>
      </c>
      <c r="F27" s="36">
        <v>2017</v>
      </c>
      <c r="G27" s="36">
        <v>2018</v>
      </c>
      <c r="H27" s="36">
        <v>2019</v>
      </c>
      <c r="I27" s="36">
        <v>2020</v>
      </c>
      <c r="J27" s="36">
        <v>2021</v>
      </c>
      <c r="K27" s="36">
        <v>2022</v>
      </c>
      <c r="M27" s="9" t="s">
        <v>27</v>
      </c>
      <c r="R27" s="4">
        <v>0.45698924731182794</v>
      </c>
      <c r="S27" s="4">
        <v>0.5</v>
      </c>
      <c r="T27" s="4">
        <v>0.48295454545454547</v>
      </c>
      <c r="U27" s="4">
        <v>0.52333333333333332</v>
      </c>
      <c r="V27" s="4">
        <v>0.48458149779735682</v>
      </c>
      <c r="W27" s="4">
        <v>0.48863636363636365</v>
      </c>
      <c r="X27" s="4">
        <v>0.46086956521739131</v>
      </c>
      <c r="Y27" s="4">
        <v>0.41304347826086957</v>
      </c>
    </row>
    <row r="28" spans="2:25" x14ac:dyDescent="0.2">
      <c r="B28" s="13" t="s">
        <v>13</v>
      </c>
      <c r="C28">
        <v>629</v>
      </c>
      <c r="D28">
        <v>683</v>
      </c>
      <c r="E28">
        <v>671</v>
      </c>
      <c r="F28">
        <v>735</v>
      </c>
      <c r="G28">
        <v>676</v>
      </c>
      <c r="H28">
        <v>791</v>
      </c>
      <c r="I28">
        <v>286</v>
      </c>
      <c r="J28">
        <v>636</v>
      </c>
      <c r="K28">
        <v>746</v>
      </c>
      <c r="M28" t="s">
        <v>28</v>
      </c>
      <c r="P28" s="9">
        <f>TTEST(R27:Y27,R28:Y28,2,2)</f>
        <v>5.7505076352711909E-3</v>
      </c>
      <c r="R28" s="4">
        <v>0.48571428571428571</v>
      </c>
      <c r="S28" s="4">
        <v>0.50686184812442814</v>
      </c>
      <c r="T28" s="4">
        <v>0.50257289879931388</v>
      </c>
      <c r="U28" s="4">
        <v>0.53568118628359596</v>
      </c>
      <c r="V28" s="4">
        <v>0.53649289099526065</v>
      </c>
      <c r="W28" s="4">
        <v>0.56054191363251482</v>
      </c>
      <c r="X28" s="4">
        <v>0.51684397163120566</v>
      </c>
      <c r="Y28" s="4">
        <v>0.55312499999999998</v>
      </c>
    </row>
    <row r="29" spans="2:25" x14ac:dyDescent="0.2">
      <c r="B29" s="13" t="s">
        <v>14</v>
      </c>
      <c r="C29">
        <v>1306</v>
      </c>
      <c r="D29">
        <v>1351</v>
      </c>
      <c r="E29">
        <v>1342</v>
      </c>
      <c r="F29">
        <v>1379</v>
      </c>
      <c r="G29">
        <v>1282</v>
      </c>
      <c r="H29">
        <v>1445</v>
      </c>
      <c r="I29">
        <v>551</v>
      </c>
      <c r="J29">
        <v>1243</v>
      </c>
      <c r="K29">
        <v>1372</v>
      </c>
      <c r="M29" t="s">
        <v>29</v>
      </c>
      <c r="N29" s="9">
        <f>TTEST(C34:K34,C40:K40,2,2)</f>
        <v>0.10059538437041961</v>
      </c>
    </row>
    <row r="30" spans="2:25" x14ac:dyDescent="0.2">
      <c r="B30" s="13" t="s">
        <v>15</v>
      </c>
      <c r="C30" s="37">
        <f>C28/C29</f>
        <v>0.48162327718223585</v>
      </c>
      <c r="D30" s="37">
        <f t="shared" ref="D30:K30" si="10">D28/D29</f>
        <v>0.50555144337527758</v>
      </c>
      <c r="E30" s="37">
        <f t="shared" si="10"/>
        <v>0.5</v>
      </c>
      <c r="F30" s="37">
        <f t="shared" si="10"/>
        <v>0.53299492385786806</v>
      </c>
      <c r="G30" s="37">
        <f t="shared" si="10"/>
        <v>0.5273010920436817</v>
      </c>
      <c r="H30" s="37">
        <f t="shared" si="10"/>
        <v>0.54740484429065739</v>
      </c>
      <c r="I30" s="37">
        <f t="shared" si="10"/>
        <v>0.51905626134301275</v>
      </c>
      <c r="J30" s="37">
        <f t="shared" si="10"/>
        <v>0.51166532582461788</v>
      </c>
      <c r="K30" s="37">
        <f t="shared" si="10"/>
        <v>0.54373177842565601</v>
      </c>
    </row>
    <row r="31" spans="2:25" x14ac:dyDescent="0.2">
      <c r="B31" s="13"/>
      <c r="M31" t="s">
        <v>36</v>
      </c>
    </row>
    <row r="32" spans="2:25" x14ac:dyDescent="0.2">
      <c r="B32" s="13" t="s">
        <v>16</v>
      </c>
      <c r="C32">
        <v>85</v>
      </c>
      <c r="D32">
        <v>129</v>
      </c>
      <c r="E32">
        <v>85</v>
      </c>
      <c r="F32">
        <v>157</v>
      </c>
      <c r="G32">
        <v>110</v>
      </c>
      <c r="H32">
        <v>129</v>
      </c>
      <c r="I32">
        <v>70</v>
      </c>
      <c r="J32">
        <v>53</v>
      </c>
      <c r="K32">
        <v>38</v>
      </c>
    </row>
    <row r="33" spans="2:23" x14ac:dyDescent="0.2">
      <c r="B33" s="13" t="s">
        <v>17</v>
      </c>
      <c r="C33">
        <v>186</v>
      </c>
      <c r="D33">
        <v>258</v>
      </c>
      <c r="E33">
        <v>176</v>
      </c>
      <c r="F33">
        <v>300</v>
      </c>
      <c r="G33">
        <v>227</v>
      </c>
      <c r="H33">
        <v>264</v>
      </c>
      <c r="I33">
        <v>118</v>
      </c>
      <c r="J33">
        <v>115</v>
      </c>
      <c r="K33">
        <v>92</v>
      </c>
      <c r="M33" s="9" t="s">
        <v>34</v>
      </c>
    </row>
    <row r="34" spans="2:23" x14ac:dyDescent="0.2">
      <c r="B34" s="13" t="s">
        <v>72</v>
      </c>
      <c r="C34" s="37">
        <f>C32/C33</f>
        <v>0.45698924731182794</v>
      </c>
      <c r="D34" s="37">
        <f t="shared" ref="D34:K34" si="11">D32/D33</f>
        <v>0.5</v>
      </c>
      <c r="E34" s="37">
        <f t="shared" si="11"/>
        <v>0.48295454545454547</v>
      </c>
      <c r="F34" s="37">
        <f t="shared" si="11"/>
        <v>0.52333333333333332</v>
      </c>
      <c r="G34" s="37">
        <f t="shared" si="11"/>
        <v>0.48458149779735682</v>
      </c>
      <c r="H34" s="37">
        <f t="shared" si="11"/>
        <v>0.48863636363636365</v>
      </c>
      <c r="I34" s="37">
        <f t="shared" si="11"/>
        <v>0.59322033898305082</v>
      </c>
      <c r="J34" s="37">
        <f t="shared" si="11"/>
        <v>0.46086956521739131</v>
      </c>
      <c r="K34" s="37">
        <f t="shared" si="11"/>
        <v>0.41304347826086957</v>
      </c>
      <c r="M34" s="9" t="s">
        <v>27</v>
      </c>
    </row>
    <row r="35" spans="2:23" x14ac:dyDescent="0.2">
      <c r="B35" s="13"/>
      <c r="I35" s="5"/>
      <c r="M35" t="s">
        <v>28</v>
      </c>
    </row>
    <row r="36" spans="2:23" x14ac:dyDescent="0.2">
      <c r="B36" s="13" t="s">
        <v>11</v>
      </c>
      <c r="C36" s="3">
        <f>C34-C30</f>
        <v>-2.4634029870407914E-2</v>
      </c>
      <c r="D36" s="3">
        <f t="shared" ref="D36:J36" si="12">D34-D30</f>
        <v>-5.551443375277576E-3</v>
      </c>
      <c r="E36" s="3">
        <f t="shared" si="12"/>
        <v>-1.704545454545453E-2</v>
      </c>
      <c r="F36" s="3">
        <f t="shared" si="12"/>
        <v>-9.6615905245347466E-3</v>
      </c>
      <c r="G36" s="3">
        <f t="shared" si="12"/>
        <v>-4.2719594246324877E-2</v>
      </c>
      <c r="H36" s="3">
        <f>H34-H30</f>
        <v>-5.8768480654293742E-2</v>
      </c>
      <c r="I36" s="3">
        <v>7.3999999999999996E-2</v>
      </c>
      <c r="J36" s="3">
        <f t="shared" si="12"/>
        <v>-5.079576060722657E-2</v>
      </c>
      <c r="K36" s="3">
        <f>K34-K30</f>
        <v>-0.13068830016478644</v>
      </c>
      <c r="M36" t="s">
        <v>29</v>
      </c>
      <c r="N36" s="9">
        <f>TTEST(D34:H34,D40:H40,2,2)</f>
        <v>3.7247422145234382E-2</v>
      </c>
      <c r="S36" s="3"/>
      <c r="T36" s="3"/>
      <c r="U36" s="3"/>
      <c r="V36" s="3"/>
      <c r="W36" s="3"/>
    </row>
    <row r="37" spans="2:23" x14ac:dyDescent="0.2">
      <c r="B37" s="13"/>
    </row>
    <row r="38" spans="2:23" x14ac:dyDescent="0.2">
      <c r="B38" s="13" t="s">
        <v>31</v>
      </c>
      <c r="C38">
        <f>C28-C32</f>
        <v>544</v>
      </c>
      <c r="D38">
        <f t="shared" ref="D38:I38" si="13">D28-D32</f>
        <v>554</v>
      </c>
      <c r="E38">
        <f t="shared" si="13"/>
        <v>586</v>
      </c>
      <c r="F38">
        <f t="shared" si="13"/>
        <v>578</v>
      </c>
      <c r="G38">
        <f t="shared" si="13"/>
        <v>566</v>
      </c>
      <c r="H38">
        <f t="shared" si="13"/>
        <v>662</v>
      </c>
      <c r="I38">
        <f t="shared" si="13"/>
        <v>216</v>
      </c>
      <c r="J38">
        <f>J28-J32</f>
        <v>583</v>
      </c>
      <c r="K38">
        <f>K28-K32</f>
        <v>708</v>
      </c>
      <c r="M38" t="s">
        <v>30</v>
      </c>
    </row>
    <row r="39" spans="2:23" x14ac:dyDescent="0.2">
      <c r="B39" s="13" t="s">
        <v>32</v>
      </c>
      <c r="C39">
        <f>C29-C33</f>
        <v>1120</v>
      </c>
      <c r="D39">
        <f t="shared" ref="D39:J39" si="14">D29-D33</f>
        <v>1093</v>
      </c>
      <c r="E39">
        <f t="shared" si="14"/>
        <v>1166</v>
      </c>
      <c r="F39">
        <f t="shared" si="14"/>
        <v>1079</v>
      </c>
      <c r="G39">
        <f t="shared" si="14"/>
        <v>1055</v>
      </c>
      <c r="H39">
        <f t="shared" si="14"/>
        <v>1181</v>
      </c>
      <c r="I39">
        <f t="shared" si="14"/>
        <v>433</v>
      </c>
      <c r="J39">
        <f t="shared" si="14"/>
        <v>1128</v>
      </c>
      <c r="K39">
        <f>K29-K33</f>
        <v>1280</v>
      </c>
    </row>
    <row r="40" spans="2:23" x14ac:dyDescent="0.2">
      <c r="B40" s="13" t="s">
        <v>33</v>
      </c>
      <c r="C40" s="37">
        <f>C38/C39</f>
        <v>0.48571428571428571</v>
      </c>
      <c r="D40" s="37">
        <f>D38/D39</f>
        <v>0.50686184812442814</v>
      </c>
      <c r="E40" s="37">
        <f t="shared" ref="E40:I40" si="15">E38/E39</f>
        <v>0.50257289879931388</v>
      </c>
      <c r="F40" s="37">
        <f t="shared" si="15"/>
        <v>0.53568118628359596</v>
      </c>
      <c r="G40" s="37">
        <f t="shared" si="15"/>
        <v>0.53649289099526065</v>
      </c>
      <c r="H40" s="37">
        <f>H38/H39</f>
        <v>0.56054191363251482</v>
      </c>
      <c r="I40" s="37">
        <f t="shared" si="15"/>
        <v>0.49884526558891457</v>
      </c>
      <c r="J40" s="37">
        <f>J38/J39</f>
        <v>0.51684397163120566</v>
      </c>
      <c r="K40" s="37">
        <f>K38/K39</f>
        <v>0.55312499999999998</v>
      </c>
      <c r="M40" t="s">
        <v>37</v>
      </c>
    </row>
    <row r="41" spans="2:23" x14ac:dyDescent="0.2">
      <c r="B41" s="13"/>
      <c r="M41" t="s">
        <v>50</v>
      </c>
    </row>
    <row r="42" spans="2:23" x14ac:dyDescent="0.2">
      <c r="B42" s="13"/>
      <c r="M42" t="s">
        <v>51</v>
      </c>
    </row>
    <row r="43" spans="2:23" x14ac:dyDescent="0.2"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2:23" x14ac:dyDescent="0.2">
      <c r="B44" s="12"/>
    </row>
    <row r="45" spans="2:23" x14ac:dyDescent="0.2">
      <c r="B45" s="12" t="s">
        <v>43</v>
      </c>
    </row>
    <row r="46" spans="2:23" x14ac:dyDescent="0.2">
      <c r="B46" s="14"/>
      <c r="C46" s="36">
        <v>2014</v>
      </c>
      <c r="D46" s="36">
        <v>2015</v>
      </c>
      <c r="E46" s="36">
        <v>2016</v>
      </c>
      <c r="F46" s="36">
        <v>2017</v>
      </c>
      <c r="G46" s="36">
        <v>2018</v>
      </c>
      <c r="H46" s="36">
        <v>2019</v>
      </c>
      <c r="I46" s="36">
        <v>2020</v>
      </c>
      <c r="J46" s="36">
        <v>2021</v>
      </c>
      <c r="K46" s="36">
        <v>2022</v>
      </c>
    </row>
    <row r="47" spans="2:23" x14ac:dyDescent="0.2">
      <c r="B47" s="13" t="s">
        <v>67</v>
      </c>
      <c r="C47" s="3">
        <v>0.40507936507936504</v>
      </c>
      <c r="D47" s="3">
        <v>0.47527727827727823</v>
      </c>
      <c r="E47" s="3">
        <v>0.37017704517704519</v>
      </c>
      <c r="F47" s="3">
        <v>0.42307692307692307</v>
      </c>
      <c r="G47" s="3">
        <v>0.23838383838383836</v>
      </c>
      <c r="H47" s="3">
        <v>0.6346681096681096</v>
      </c>
      <c r="I47" s="3">
        <v>0.66339869281045749</v>
      </c>
      <c r="J47" s="3">
        <v>0.40384615384615385</v>
      </c>
      <c r="K47" s="3">
        <v>0.27777777777777773</v>
      </c>
    </row>
    <row r="48" spans="2:23" x14ac:dyDescent="0.2">
      <c r="B48" s="13" t="s">
        <v>68</v>
      </c>
      <c r="C48" s="3">
        <v>0.46693943311590375</v>
      </c>
      <c r="D48" s="3">
        <v>0.32787878787878788</v>
      </c>
      <c r="E48" s="3">
        <v>0.47156862745098033</v>
      </c>
      <c r="F48" s="3">
        <v>0.5044193137443912</v>
      </c>
      <c r="G48" s="3">
        <v>0.46840857555143262</v>
      </c>
      <c r="H48" s="3">
        <v>0.40083443126921386</v>
      </c>
      <c r="I48" s="3">
        <v>0.48158590921748817</v>
      </c>
      <c r="J48" s="3">
        <v>0.48342170649862959</v>
      </c>
      <c r="K48" s="3">
        <v>0.40747549019607843</v>
      </c>
      <c r="M48" s="9" t="s">
        <v>20</v>
      </c>
    </row>
    <row r="49" spans="2:15" x14ac:dyDescent="0.2">
      <c r="B49" s="13"/>
      <c r="C49" s="3"/>
      <c r="D49" s="3"/>
      <c r="E49" s="3"/>
      <c r="F49" s="3"/>
      <c r="G49" s="3"/>
      <c r="H49" s="3"/>
      <c r="I49" s="3"/>
      <c r="J49" s="3"/>
      <c r="K49" s="3"/>
    </row>
    <row r="50" spans="2:15" x14ac:dyDescent="0.2">
      <c r="B50" s="13"/>
      <c r="M50" s="9" t="s">
        <v>70</v>
      </c>
    </row>
    <row r="51" spans="2:15" x14ac:dyDescent="0.2">
      <c r="B51" s="13"/>
    </row>
    <row r="52" spans="2:15" x14ac:dyDescent="0.2">
      <c r="B52" s="13"/>
      <c r="M52" s="3">
        <v>0.79625462842312411</v>
      </c>
      <c r="O52" t="s">
        <v>44</v>
      </c>
    </row>
    <row r="53" spans="2:15" x14ac:dyDescent="0.2">
      <c r="B53" s="13"/>
    </row>
    <row r="54" spans="2:15" x14ac:dyDescent="0.2">
      <c r="B54" s="13"/>
      <c r="M54" s="9" t="s">
        <v>47</v>
      </c>
    </row>
    <row r="55" spans="2:15" x14ac:dyDescent="0.2">
      <c r="B55" s="13"/>
    </row>
    <row r="56" spans="2:15" x14ac:dyDescent="0.2">
      <c r="B56" s="13"/>
      <c r="M56" s="3">
        <v>0.79829485421247071</v>
      </c>
      <c r="O56" t="s">
        <v>44</v>
      </c>
    </row>
    <row r="57" spans="2:15" x14ac:dyDescent="0.2">
      <c r="B57" s="13"/>
    </row>
    <row r="58" spans="2:15" x14ac:dyDescent="0.2">
      <c r="B58" s="13"/>
      <c r="M58" t="s">
        <v>48</v>
      </c>
    </row>
    <row r="59" spans="2:15" x14ac:dyDescent="0.2">
      <c r="B59" s="13"/>
      <c r="M59" t="s">
        <v>49</v>
      </c>
    </row>
    <row r="60" spans="2:15" x14ac:dyDescent="0.2">
      <c r="B60" s="13"/>
      <c r="M60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2B30-0A3C-DB49-A3F3-186D098AAFD7}">
  <dimension ref="A1"/>
  <sheetViews>
    <sheetView topLeftCell="H12" zoomScale="120" zoomScaleNormal="120" workbookViewId="0">
      <selection activeCell="V26" sqref="V2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F6AF-685E-6948-AF0D-6B98D3759CE5}">
  <dimension ref="B2:B14"/>
  <sheetViews>
    <sheetView workbookViewId="0">
      <selection activeCell="B14" sqref="B14"/>
    </sheetView>
  </sheetViews>
  <sheetFormatPr baseColWidth="10" defaultRowHeight="16" x14ac:dyDescent="0.2"/>
  <sheetData>
    <row r="2" spans="2:2" x14ac:dyDescent="0.2">
      <c r="B2" s="9" t="s">
        <v>41</v>
      </c>
    </row>
    <row r="3" spans="2:2" x14ac:dyDescent="0.2">
      <c r="B3" t="s">
        <v>18</v>
      </c>
    </row>
    <row r="6" spans="2:2" x14ac:dyDescent="0.2">
      <c r="B6" s="9" t="s">
        <v>42</v>
      </c>
    </row>
    <row r="7" spans="2:2" x14ac:dyDescent="0.2">
      <c r="B7" t="s">
        <v>19</v>
      </c>
    </row>
    <row r="10" spans="2:2" x14ac:dyDescent="0.2">
      <c r="B10" s="9" t="s">
        <v>40</v>
      </c>
    </row>
    <row r="11" spans="2:2" x14ac:dyDescent="0.2">
      <c r="B11" t="s">
        <v>39</v>
      </c>
    </row>
    <row r="13" spans="2:2" x14ac:dyDescent="0.2">
      <c r="B13" s="9" t="s">
        <v>81</v>
      </c>
    </row>
    <row r="14" spans="2:2" x14ac:dyDescent="0.2">
      <c r="B14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A69C-DF53-8C4D-80B8-5E0C25551437}">
  <dimension ref="B2:AC24"/>
  <sheetViews>
    <sheetView zoomScale="120" zoomScaleNormal="120" workbookViewId="0">
      <selection activeCell="D11" sqref="D11"/>
    </sheetView>
  </sheetViews>
  <sheetFormatPr baseColWidth="10" defaultRowHeight="16" x14ac:dyDescent="0.2"/>
  <cols>
    <col min="2" max="2" width="24.33203125" bestFit="1" customWidth="1"/>
    <col min="4" max="4" width="24.1640625" bestFit="1" customWidth="1"/>
    <col min="6" max="6" width="18.83203125" bestFit="1" customWidth="1"/>
    <col min="7" max="7" width="18.83203125" customWidth="1"/>
    <col min="9" max="9" width="6.83203125" bestFit="1" customWidth="1"/>
    <col min="10" max="10" width="17.5" bestFit="1" customWidth="1"/>
    <col min="11" max="11" width="17.5" customWidth="1"/>
    <col min="12" max="12" width="18.33203125" bestFit="1" customWidth="1"/>
    <col min="13" max="13" width="8.83203125" bestFit="1" customWidth="1"/>
  </cols>
  <sheetData>
    <row r="2" spans="2:29" x14ac:dyDescent="0.2">
      <c r="B2" t="s">
        <v>65</v>
      </c>
      <c r="D2" t="s">
        <v>74</v>
      </c>
      <c r="F2" t="s">
        <v>60</v>
      </c>
      <c r="H2" t="s">
        <v>61</v>
      </c>
      <c r="I2" t="s">
        <v>4</v>
      </c>
      <c r="J2" t="s">
        <v>55</v>
      </c>
      <c r="K2" t="s">
        <v>62</v>
      </c>
      <c r="L2" t="s">
        <v>63</v>
      </c>
      <c r="M2" s="2" t="s">
        <v>8</v>
      </c>
      <c r="N2" t="s">
        <v>64</v>
      </c>
    </row>
    <row r="3" spans="2:29" x14ac:dyDescent="0.2">
      <c r="B3" s="3">
        <f>AVERAGE(J3:J24)</f>
        <v>0.2473181818181818</v>
      </c>
      <c r="D3" s="3">
        <v>0.248</v>
      </c>
      <c r="F3">
        <v>0.25900000000000001</v>
      </c>
      <c r="H3" s="1">
        <v>44659</v>
      </c>
      <c r="I3" s="34">
        <v>1</v>
      </c>
      <c r="J3" s="3">
        <v>0.35099999999999998</v>
      </c>
      <c r="K3">
        <v>13</v>
      </c>
      <c r="L3">
        <v>7</v>
      </c>
      <c r="M3" s="3">
        <f>L3/K3</f>
        <v>0.53846153846153844</v>
      </c>
      <c r="N3">
        <v>0</v>
      </c>
      <c r="Q3" s="3">
        <v>0.35099999999999998</v>
      </c>
      <c r="R3" s="3">
        <v>0.27300000000000002</v>
      </c>
      <c r="S3" s="3">
        <v>0.25800000000000001</v>
      </c>
      <c r="T3" s="3">
        <v>0.25</v>
      </c>
      <c r="U3" s="3">
        <v>0.38500000000000001</v>
      </c>
      <c r="V3" s="3">
        <v>0.2</v>
      </c>
      <c r="W3" s="3">
        <v>0.16700000000000001</v>
      </c>
      <c r="X3" s="3">
        <v>0.35499999999999998</v>
      </c>
      <c r="Y3" s="3">
        <v>0.188</v>
      </c>
      <c r="Z3" s="18">
        <v>0.26500000000000001</v>
      </c>
      <c r="AC3" s="9">
        <f>TTEST(Q3:Z3,Q5:Z5,2,2)</f>
        <v>0.10293840321698078</v>
      </c>
    </row>
    <row r="4" spans="2:29" x14ac:dyDescent="0.2">
      <c r="H4" s="1">
        <v>44664</v>
      </c>
      <c r="I4" s="34">
        <v>1</v>
      </c>
      <c r="J4" s="3">
        <v>0.27300000000000002</v>
      </c>
      <c r="K4">
        <v>9</v>
      </c>
      <c r="L4">
        <v>9</v>
      </c>
      <c r="M4" s="3">
        <f t="shared" ref="M4:M24" si="0">L4/K4</f>
        <v>1</v>
      </c>
      <c r="N4">
        <v>1</v>
      </c>
    </row>
    <row r="5" spans="2:29" x14ac:dyDescent="0.2">
      <c r="B5" t="s">
        <v>73</v>
      </c>
      <c r="D5" t="s">
        <v>75</v>
      </c>
      <c r="F5" t="s">
        <v>76</v>
      </c>
      <c r="H5" s="1">
        <v>44670</v>
      </c>
      <c r="I5" s="34">
        <v>1</v>
      </c>
      <c r="J5" s="3">
        <v>0.25800000000000001</v>
      </c>
      <c r="K5">
        <v>9</v>
      </c>
      <c r="L5">
        <v>3</v>
      </c>
      <c r="M5" s="3">
        <f t="shared" si="0"/>
        <v>0.33333333333333331</v>
      </c>
      <c r="N5">
        <v>0</v>
      </c>
      <c r="Q5" s="3">
        <v>0.19400000000000001</v>
      </c>
      <c r="R5" s="3">
        <v>0.125</v>
      </c>
      <c r="S5" s="3">
        <v>0.27300000000000002</v>
      </c>
      <c r="T5" s="3">
        <v>0.35099999999999998</v>
      </c>
      <c r="U5" s="3">
        <v>0.24199999999999999</v>
      </c>
      <c r="V5" s="3">
        <v>0.161</v>
      </c>
      <c r="W5" s="3">
        <v>0.34100000000000003</v>
      </c>
      <c r="X5" s="3">
        <v>0.13300000000000001</v>
      </c>
      <c r="Y5" s="3">
        <v>0.1</v>
      </c>
      <c r="Z5" s="3">
        <v>0.129</v>
      </c>
    </row>
    <row r="6" spans="2:29" x14ac:dyDescent="0.2">
      <c r="B6" s="3">
        <f>AVERAGE(M3:M24)</f>
        <v>0.47691299928142022</v>
      </c>
      <c r="D6" s="3">
        <v>0.41304347826086957</v>
      </c>
      <c r="F6" s="3">
        <v>0.54373177842565601</v>
      </c>
      <c r="H6" s="1">
        <v>44676</v>
      </c>
      <c r="I6" s="34">
        <v>1</v>
      </c>
      <c r="J6" s="3">
        <v>0.25</v>
      </c>
      <c r="K6">
        <v>9</v>
      </c>
      <c r="L6">
        <v>5</v>
      </c>
      <c r="M6" s="3">
        <f t="shared" si="0"/>
        <v>0.55555555555555558</v>
      </c>
      <c r="N6">
        <v>0</v>
      </c>
    </row>
    <row r="7" spans="2:29" x14ac:dyDescent="0.2">
      <c r="F7" s="3"/>
      <c r="H7" s="1">
        <v>44682</v>
      </c>
      <c r="I7" s="34">
        <v>1</v>
      </c>
      <c r="J7" s="3">
        <v>0.38500000000000001</v>
      </c>
      <c r="K7">
        <v>15</v>
      </c>
      <c r="L7">
        <v>10</v>
      </c>
      <c r="M7" s="3">
        <f t="shared" si="0"/>
        <v>0.66666666666666663</v>
      </c>
      <c r="N7">
        <v>0</v>
      </c>
    </row>
    <row r="8" spans="2:29" x14ac:dyDescent="0.2">
      <c r="H8" s="1">
        <v>44689</v>
      </c>
      <c r="I8" s="34">
        <v>0</v>
      </c>
      <c r="J8" s="3">
        <v>0.2</v>
      </c>
      <c r="K8">
        <v>6</v>
      </c>
      <c r="L8">
        <v>2</v>
      </c>
      <c r="M8" s="3">
        <f t="shared" si="0"/>
        <v>0.33333333333333331</v>
      </c>
      <c r="N8">
        <v>0</v>
      </c>
    </row>
    <row r="9" spans="2:29" x14ac:dyDescent="0.2">
      <c r="H9" s="1">
        <v>44694</v>
      </c>
      <c r="I9" s="34">
        <v>0</v>
      </c>
      <c r="J9" s="3">
        <v>0.16700000000000001</v>
      </c>
      <c r="K9">
        <v>5</v>
      </c>
      <c r="L9">
        <v>1</v>
      </c>
      <c r="M9" s="3">
        <f t="shared" si="0"/>
        <v>0.2</v>
      </c>
      <c r="N9">
        <v>0</v>
      </c>
    </row>
    <row r="10" spans="2:29" x14ac:dyDescent="0.2">
      <c r="H10" s="1">
        <v>44699</v>
      </c>
      <c r="I10" s="34">
        <v>1</v>
      </c>
      <c r="J10" s="3">
        <v>0.35499999999999998</v>
      </c>
      <c r="K10">
        <v>11</v>
      </c>
      <c r="L10">
        <v>11</v>
      </c>
      <c r="M10" s="3">
        <f t="shared" si="0"/>
        <v>1</v>
      </c>
      <c r="N10">
        <v>0</v>
      </c>
      <c r="R10">
        <v>0.53846153846153844</v>
      </c>
      <c r="S10">
        <v>1</v>
      </c>
      <c r="T10">
        <v>0.33333333333333331</v>
      </c>
      <c r="U10">
        <v>0.55555555555555558</v>
      </c>
      <c r="V10">
        <v>0.66666666666666663</v>
      </c>
      <c r="W10">
        <v>0.33333333333333331</v>
      </c>
      <c r="X10">
        <v>0.2</v>
      </c>
      <c r="Y10">
        <v>1</v>
      </c>
      <c r="Z10">
        <v>0</v>
      </c>
      <c r="AA10">
        <v>0.44444444444444442</v>
      </c>
      <c r="AC10" s="9">
        <f>TTEST(R10:AA10,R12:AA12,2,2)</f>
        <v>0.42039152508390709</v>
      </c>
    </row>
    <row r="11" spans="2:29" x14ac:dyDescent="0.2">
      <c r="H11" s="1">
        <v>44747</v>
      </c>
      <c r="I11" s="34">
        <v>0</v>
      </c>
      <c r="J11" s="3">
        <v>0.188</v>
      </c>
      <c r="K11">
        <v>6</v>
      </c>
      <c r="L11">
        <v>0</v>
      </c>
      <c r="M11" s="3">
        <f t="shared" si="0"/>
        <v>0</v>
      </c>
      <c r="N11">
        <v>0</v>
      </c>
    </row>
    <row r="12" spans="2:29" x14ac:dyDescent="0.2">
      <c r="H12" s="7">
        <v>44753</v>
      </c>
      <c r="I12" s="35">
        <v>1</v>
      </c>
      <c r="J12" s="8">
        <v>0.26500000000000001</v>
      </c>
      <c r="K12" s="6">
        <v>9</v>
      </c>
      <c r="L12" s="6">
        <v>4</v>
      </c>
      <c r="M12" s="8">
        <f t="shared" si="0"/>
        <v>0.44444444444444442</v>
      </c>
      <c r="N12" s="6">
        <v>1</v>
      </c>
      <c r="R12" s="3">
        <v>0.5714285714285714</v>
      </c>
      <c r="S12" s="3">
        <v>0.25</v>
      </c>
      <c r="T12" s="3">
        <v>0.33333333333333331</v>
      </c>
      <c r="U12" s="3">
        <v>0.53846153846153844</v>
      </c>
      <c r="V12" s="3">
        <v>0.75</v>
      </c>
      <c r="W12" s="3">
        <v>0.2</v>
      </c>
      <c r="X12" s="3">
        <v>0.6428571428571429</v>
      </c>
      <c r="Y12" s="3">
        <v>0.5</v>
      </c>
      <c r="Z12" s="3">
        <v>0</v>
      </c>
      <c r="AA12" s="3">
        <v>0.25</v>
      </c>
    </row>
    <row r="13" spans="2:29" x14ac:dyDescent="0.2">
      <c r="H13" s="1">
        <v>44758</v>
      </c>
      <c r="I13" s="34">
        <v>1</v>
      </c>
      <c r="J13" s="3">
        <v>0.19400000000000001</v>
      </c>
      <c r="K13">
        <v>7</v>
      </c>
      <c r="L13">
        <v>4</v>
      </c>
      <c r="M13" s="3">
        <f t="shared" si="0"/>
        <v>0.5714285714285714</v>
      </c>
      <c r="N13">
        <v>0</v>
      </c>
    </row>
    <row r="14" spans="2:29" x14ac:dyDescent="0.2">
      <c r="H14" s="1">
        <v>44764</v>
      </c>
      <c r="I14" s="34">
        <v>0</v>
      </c>
      <c r="J14" s="3">
        <v>0.125</v>
      </c>
      <c r="K14">
        <v>4</v>
      </c>
      <c r="L14">
        <v>1</v>
      </c>
      <c r="M14" s="3">
        <f t="shared" si="0"/>
        <v>0.25</v>
      </c>
      <c r="N14">
        <v>1</v>
      </c>
      <c r="Q14" s="3"/>
    </row>
    <row r="15" spans="2:29" x14ac:dyDescent="0.2">
      <c r="H15" s="1">
        <v>44769</v>
      </c>
      <c r="I15" s="34">
        <v>1</v>
      </c>
      <c r="J15" s="3">
        <v>0.27300000000000002</v>
      </c>
      <c r="K15">
        <v>9</v>
      </c>
      <c r="L15">
        <v>3</v>
      </c>
      <c r="M15" s="3">
        <f t="shared" si="0"/>
        <v>0.33333333333333331</v>
      </c>
      <c r="N15">
        <v>0</v>
      </c>
      <c r="Q15" s="3"/>
    </row>
    <row r="16" spans="2:29" x14ac:dyDescent="0.2">
      <c r="H16" s="1">
        <v>44774</v>
      </c>
      <c r="I16" s="34">
        <v>1</v>
      </c>
      <c r="J16" s="3">
        <v>0.35099999999999998</v>
      </c>
      <c r="K16">
        <v>13</v>
      </c>
      <c r="L16">
        <v>7</v>
      </c>
      <c r="M16" s="3">
        <f t="shared" si="0"/>
        <v>0.53846153846153844</v>
      </c>
      <c r="N16">
        <v>0</v>
      </c>
      <c r="Q16" s="3"/>
    </row>
    <row r="17" spans="8:17" x14ac:dyDescent="0.2">
      <c r="H17" s="1">
        <v>44779</v>
      </c>
      <c r="I17" s="34">
        <v>1</v>
      </c>
      <c r="J17" s="3">
        <v>0.24199999999999999</v>
      </c>
      <c r="K17">
        <v>8</v>
      </c>
      <c r="L17">
        <v>6</v>
      </c>
      <c r="M17" s="3">
        <f t="shared" si="0"/>
        <v>0.75</v>
      </c>
      <c r="N17">
        <v>1</v>
      </c>
      <c r="Q17" s="3"/>
    </row>
    <row r="18" spans="8:17" x14ac:dyDescent="0.2">
      <c r="H18" s="1">
        <v>44785</v>
      </c>
      <c r="I18" s="34">
        <v>0</v>
      </c>
      <c r="J18" s="3">
        <v>0.161</v>
      </c>
      <c r="K18">
        <v>5</v>
      </c>
      <c r="L18">
        <v>1</v>
      </c>
      <c r="M18" s="3">
        <f t="shared" si="0"/>
        <v>0.2</v>
      </c>
      <c r="N18">
        <v>0</v>
      </c>
      <c r="Q18" s="3"/>
    </row>
    <row r="19" spans="8:17" x14ac:dyDescent="0.2">
      <c r="H19" s="1">
        <v>44790</v>
      </c>
      <c r="I19" s="34">
        <v>1</v>
      </c>
      <c r="J19" s="3">
        <v>0.34100000000000003</v>
      </c>
      <c r="K19">
        <v>14</v>
      </c>
      <c r="L19">
        <v>9</v>
      </c>
      <c r="M19" s="3">
        <f t="shared" si="0"/>
        <v>0.6428571428571429</v>
      </c>
      <c r="N19">
        <v>0</v>
      </c>
      <c r="Q19" s="3"/>
    </row>
    <row r="20" spans="8:17" x14ac:dyDescent="0.2">
      <c r="H20" s="1">
        <v>44795</v>
      </c>
      <c r="I20" s="34">
        <v>0</v>
      </c>
      <c r="J20" s="3">
        <v>0.13300000000000001</v>
      </c>
      <c r="K20" s="34">
        <v>4</v>
      </c>
      <c r="L20" s="34">
        <v>2</v>
      </c>
      <c r="M20" s="3">
        <f t="shared" si="0"/>
        <v>0.5</v>
      </c>
      <c r="N20" s="34">
        <v>0</v>
      </c>
      <c r="Q20" s="3"/>
    </row>
    <row r="21" spans="8:17" x14ac:dyDescent="0.2">
      <c r="H21" s="1">
        <v>44801</v>
      </c>
      <c r="I21" s="34">
        <v>0</v>
      </c>
      <c r="J21" s="3">
        <v>0.1</v>
      </c>
      <c r="K21" s="34">
        <v>3</v>
      </c>
      <c r="L21" s="34">
        <v>0</v>
      </c>
      <c r="M21" s="3">
        <f t="shared" si="0"/>
        <v>0</v>
      </c>
      <c r="N21" s="34">
        <v>0</v>
      </c>
      <c r="Q21" s="3"/>
    </row>
    <row r="22" spans="8:17" x14ac:dyDescent="0.2">
      <c r="H22" s="1">
        <v>44807</v>
      </c>
      <c r="I22" s="34">
        <v>0</v>
      </c>
      <c r="J22" s="3">
        <v>0.129</v>
      </c>
      <c r="K22" s="34">
        <v>4</v>
      </c>
      <c r="L22" s="34">
        <v>1</v>
      </c>
      <c r="M22" s="3">
        <f t="shared" si="0"/>
        <v>0.25</v>
      </c>
      <c r="N22" s="34">
        <v>0</v>
      </c>
      <c r="Q22" s="3"/>
    </row>
    <row r="23" spans="8:17" x14ac:dyDescent="0.2">
      <c r="H23" s="1">
        <v>44823</v>
      </c>
      <c r="I23" s="34">
        <v>1</v>
      </c>
      <c r="J23" s="3">
        <v>0.27800000000000002</v>
      </c>
      <c r="K23" s="34">
        <v>10</v>
      </c>
      <c r="L23" s="34">
        <v>7</v>
      </c>
      <c r="M23" s="3">
        <f t="shared" si="0"/>
        <v>0.7</v>
      </c>
      <c r="N23" s="34">
        <v>1</v>
      </c>
      <c r="Q23" s="3"/>
    </row>
    <row r="24" spans="8:17" x14ac:dyDescent="0.2">
      <c r="H24" s="1">
        <v>44829</v>
      </c>
      <c r="I24" s="34">
        <v>1</v>
      </c>
      <c r="J24" s="3">
        <v>0.42199999999999999</v>
      </c>
      <c r="K24" s="34">
        <v>19</v>
      </c>
      <c r="L24" s="34">
        <v>13</v>
      </c>
      <c r="M24" s="3">
        <f t="shared" si="0"/>
        <v>0.68421052631578949</v>
      </c>
      <c r="N24" s="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Aces Work</vt:lpstr>
      <vt:lpstr>Results</vt:lpstr>
      <vt:lpstr>Charts</vt:lpstr>
      <vt:lpstr>Sources</vt:lpstr>
      <vt:lpstr>Scherzer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2021-05-03T02:55:23Z</dcterms:created>
  <dcterms:modified xsi:type="dcterms:W3CDTF">2022-10-01T19:45:37Z</dcterms:modified>
</cp:coreProperties>
</file>